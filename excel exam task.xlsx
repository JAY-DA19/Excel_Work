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5AC08856-6232-4F91-B625-9918BFFA02A8}" xr6:coauthVersionLast="47" xr6:coauthVersionMax="47" xr10:uidLastSave="{00000000-0000-0000-0000-000000000000}"/>
  <bookViews>
    <workbookView xWindow="-120" yWindow="-120" windowWidth="20730" windowHeight="11040" xr2:uid="{7AA03ED2-E8FB-40C2-BF8E-122392D3A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4" i="1" l="1"/>
  <c r="L64" i="1"/>
  <c r="H69" i="1"/>
  <c r="H68" i="1"/>
  <c r="H67" i="1"/>
  <c r="H66" i="1"/>
  <c r="H65" i="1"/>
  <c r="H64" i="1"/>
  <c r="K54" i="1" a="1"/>
  <c r="H59" i="1"/>
  <c r="J59" i="1" s="1"/>
  <c r="H58" i="1"/>
  <c r="J58" i="1" s="1"/>
  <c r="H57" i="1"/>
  <c r="J57" i="1" s="1"/>
  <c r="H56" i="1"/>
  <c r="J56" i="1" s="1"/>
  <c r="H55" i="1"/>
  <c r="J55" i="1" s="1"/>
  <c r="H54" i="1"/>
  <c r="J54" i="1" s="1"/>
  <c r="A46" i="1"/>
  <c r="A43" i="1"/>
  <c r="A39" i="1"/>
  <c r="A40" i="1"/>
  <c r="A41" i="1"/>
  <c r="A42" i="1"/>
  <c r="A38" i="1"/>
  <c r="K30" i="1"/>
  <c r="K31" i="1"/>
  <c r="K32" i="1"/>
  <c r="K33" i="1"/>
  <c r="K34" i="1"/>
  <c r="K29" i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J20" i="1"/>
  <c r="J21" i="1"/>
  <c r="J22" i="1"/>
  <c r="J23" i="1"/>
  <c r="J24" i="1"/>
  <c r="J19" i="1"/>
  <c r="H24" i="1"/>
  <c r="H23" i="1"/>
  <c r="H22" i="1"/>
  <c r="H21" i="1"/>
  <c r="H20" i="1"/>
  <c r="H19" i="1"/>
  <c r="H5" i="1"/>
  <c r="H6" i="1"/>
  <c r="H7" i="1"/>
  <c r="H8" i="1"/>
  <c r="H9" i="1"/>
  <c r="H4" i="1"/>
  <c r="J69" i="1" l="1"/>
  <c r="K69" i="1" s="1"/>
  <c r="J68" i="1"/>
  <c r="K68" i="1" s="1"/>
  <c r="J67" i="1"/>
  <c r="K67" i="1" s="1"/>
  <c r="J66" i="1"/>
  <c r="K66" i="1" s="1"/>
  <c r="J65" i="1"/>
  <c r="K65" i="1" s="1"/>
  <c r="J64" i="1"/>
  <c r="K6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<sst xmlns="http://schemas.openxmlformats.org/spreadsheetml/2006/main" count="191" uniqueCount="40">
  <si>
    <t>total</t>
  </si>
  <si>
    <t>1. Calculate Total Sales for each order (Quantity × Unit_Price).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</si>
  <si>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</si>
  <si>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</si>
  <si>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</si>
  <si>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</si>
  <si>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</si>
  <si>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</si>
  <si>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</si>
  <si>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</si>
  <si>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</si>
  <si>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</si>
  <si>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</si>
  <si>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</si>
  <si>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</si>
  <si>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</si>
  <si>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</si>
  <si>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</si>
  <si>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</si>
  <si>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</si>
  <si>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</si>
  <si>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</si>
  <si>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</si>
  <si>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</si>
  <si>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</si>
  <si>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</si>
  <si>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2. Calculate GST Amount using VLOOKUP from Product_Master.</t>
  </si>
  <si>
    <t>Category</t>
  </si>
  <si>
    <t>GST_%</t>
  </si>
  <si>
    <t>Electronics</t>
  </si>
  <si>
    <t>3. Find Final Amount payable (Total Sales + GST).</t>
  </si>
  <si>
    <t>amt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</si>
  <si>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</si>
  <si>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</si>
  <si>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</si>
  <si>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</si>
  <si>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classification</t>
  </si>
  <si>
    <t>8. Find the maximum and minimum Final Amount.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</si>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</sst>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E412-7983-4A77-B128-34E860441C12}">
  <dimension ref="A1:M69"/>
  <sheetViews>
    <sheetView tabSelected="1" topLeftCell="A58" workbookViewId="0">
      <selection activeCell="L64" sqref="L64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1.7109375" bestFit="1" customWidth="1"/>
    <col min="4" max="4" width="8.42578125" bestFit="1" customWidth="1"/>
    <col min="5" max="5" width="8.7109375" bestFit="1" customWidth="1"/>
    <col min="6" max="6" width="10.140625" bestFit="1" customWidth="1"/>
    <col min="7" max="7" width="10.7109375" bestFit="1" customWidth="1"/>
    <col min="11" max="11" width="12.42578125" bestFit="1" customWidth="1"/>
  </cols>
  <sheetData>
    <row r="1" spans="1:8" x14ac:dyDescent="0.25">
      <c r="A1" s="2" t="s">
        <v>1</v>
      </c>
      <c r="B1" s="2"/>
      <c r="C1" s="2"/>
      <c r="D1" s="2"/>
      <c r="E1" s="2"/>
      <c r="F1" s="2"/>
    </row>
    <row r="2" spans="1:8" x14ac:dyDescent="0.25">
      <c r="A2" s="1"/>
      <c r="B2" s="1"/>
      <c r="C2" s="1"/>
      <c r="D2" s="1"/>
      <c r="E2" s="1"/>
      <c r="F2" s="1"/>
    </row>
    <row r="3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t="s">
        <v>0</v>
      </c>
    </row>
    <row r="4" spans="1:8" x14ac:dyDescent="0.25">
      <c r="A4" s="3">
        <v>301</v>
      </c>
      <c r="B4" s="3" t="s">
        <v>9</v>
      </c>
      <c r="C4" s="3" t="s">
        <v>10</v>
      </c>
      <c r="D4" s="3" t="s">
        <v>11</v>
      </c>
      <c r="E4" s="3">
        <v>2</v>
      </c>
      <c r="F4" s="3">
        <v>45000</v>
      </c>
      <c r="G4" s="3" t="s">
        <v>12</v>
      </c>
      <c r="H4">
        <f>E4*F4</f>
        <v>90000</v>
      </c>
    </row>
    <row r="5" spans="1:8" x14ac:dyDescent="0.25">
      <c r="A5" s="3">
        <v>302</v>
      </c>
      <c r="B5" s="3" t="s">
        <v>13</v>
      </c>
      <c r="C5" s="3" t="s">
        <v>14</v>
      </c>
      <c r="D5" s="3" t="s">
        <v>15</v>
      </c>
      <c r="E5" s="3">
        <v>5</v>
      </c>
      <c r="F5" s="3">
        <v>15000</v>
      </c>
      <c r="G5" s="3" t="s">
        <v>16</v>
      </c>
      <c r="H5" s="3">
        <f t="shared" ref="H5:H9" si="0">E5*F5</f>
        <v>75000</v>
      </c>
    </row>
    <row r="6" spans="1:8" x14ac:dyDescent="0.25">
      <c r="A6" s="3">
        <v>303</v>
      </c>
      <c r="B6" s="3" t="s">
        <v>17</v>
      </c>
      <c r="C6" s="3" t="s">
        <v>18</v>
      </c>
      <c r="D6" s="3" t="s">
        <v>19</v>
      </c>
      <c r="E6" s="3">
        <v>3</v>
      </c>
      <c r="F6" s="3">
        <v>18000</v>
      </c>
      <c r="G6" s="3" t="s">
        <v>20</v>
      </c>
      <c r="H6" s="3">
        <f t="shared" si="0"/>
        <v>54000</v>
      </c>
    </row>
    <row r="7" spans="1:8" x14ac:dyDescent="0.25">
      <c r="A7" s="3">
        <v>304</v>
      </c>
      <c r="B7" s="3" t="s">
        <v>21</v>
      </c>
      <c r="C7" s="3" t="s">
        <v>22</v>
      </c>
      <c r="D7" s="3" t="s">
        <v>11</v>
      </c>
      <c r="E7" s="3">
        <v>1</v>
      </c>
      <c r="F7" s="3">
        <v>45000</v>
      </c>
      <c r="G7" s="3" t="s">
        <v>23</v>
      </c>
      <c r="H7" s="3">
        <f t="shared" si="0"/>
        <v>45000</v>
      </c>
    </row>
    <row r="8" spans="1:8" x14ac:dyDescent="0.25">
      <c r="A8" s="3">
        <v>305</v>
      </c>
      <c r="B8" s="3" t="s">
        <v>9</v>
      </c>
      <c r="C8" s="3" t="s">
        <v>10</v>
      </c>
      <c r="D8" s="3" t="s">
        <v>15</v>
      </c>
      <c r="E8" s="3">
        <v>4</v>
      </c>
      <c r="F8" s="3">
        <v>15000</v>
      </c>
      <c r="G8" s="3" t="s">
        <v>24</v>
      </c>
      <c r="H8" s="3">
        <f t="shared" si="0"/>
        <v>60000</v>
      </c>
    </row>
    <row r="9" spans="1:8" x14ac:dyDescent="0.25">
      <c r="A9" s="3">
        <v>306</v>
      </c>
      <c r="B9" s="3" t="s">
        <v>13</v>
      </c>
      <c r="C9" s="3" t="s">
        <v>14</v>
      </c>
      <c r="D9" s="3" t="s">
        <v>11</v>
      </c>
      <c r="E9" s="3">
        <v>2</v>
      </c>
      <c r="F9" s="3">
        <v>45000</v>
      </c>
      <c r="G9" s="3" t="s">
        <v>25</v>
      </c>
      <c r="H9" s="3">
        <f t="shared" si="0"/>
        <v>90000</v>
      </c>
    </row>
    <row r="11" spans="1:8" x14ac:dyDescent="0.25">
      <c r="A11" s="4" t="s">
        <v>26</v>
      </c>
      <c r="B11" s="4"/>
      <c r="C11" s="4"/>
      <c r="D11" s="4"/>
      <c r="E11" s="4"/>
      <c r="F11" s="4"/>
    </row>
    <row r="13" spans="1:8" x14ac:dyDescent="0.25">
      <c r="A13" s="5" t="s">
        <v>5</v>
      </c>
      <c r="B13" s="5" t="s">
        <v>27</v>
      </c>
      <c r="C13" s="5" t="s">
        <v>28</v>
      </c>
    </row>
    <row r="14" spans="1:8" x14ac:dyDescent="0.25">
      <c r="A14" s="5" t="s">
        <v>11</v>
      </c>
      <c r="B14" s="5" t="s">
        <v>29</v>
      </c>
      <c r="C14" s="5">
        <v>18</v>
      </c>
      <c r="D14" s="7" t="s">
        <v>11</v>
      </c>
      <c r="E14" s="7">
        <v>0.18</v>
      </c>
    </row>
    <row r="15" spans="1:8" x14ac:dyDescent="0.25">
      <c r="A15" s="5" t="s">
        <v>15</v>
      </c>
      <c r="B15" s="5" t="s">
        <v>29</v>
      </c>
      <c r="C15" s="5">
        <v>12</v>
      </c>
      <c r="D15" s="7" t="s">
        <v>15</v>
      </c>
      <c r="E15" s="7">
        <v>0.12</v>
      </c>
    </row>
    <row r="16" spans="1:8" x14ac:dyDescent="0.25">
      <c r="A16" s="5" t="s">
        <v>19</v>
      </c>
      <c r="B16" s="5" t="s">
        <v>29</v>
      </c>
      <c r="C16" s="5">
        <v>12</v>
      </c>
      <c r="D16" s="7" t="s">
        <v>19</v>
      </c>
      <c r="E16" s="7">
        <v>0.12</v>
      </c>
    </row>
    <row r="18" spans="1:11" x14ac:dyDescent="0.25">
      <c r="A18" s="6" t="s">
        <v>2</v>
      </c>
      <c r="B18" s="6" t="s">
        <v>3</v>
      </c>
      <c r="C18" s="6" t="s">
        <v>4</v>
      </c>
      <c r="D18" s="6" t="s">
        <v>5</v>
      </c>
      <c r="E18" s="6" t="s">
        <v>6</v>
      </c>
      <c r="F18" s="6" t="s">
        <v>7</v>
      </c>
      <c r="G18" s="6" t="s">
        <v>8</v>
      </c>
      <c r="H18" s="6" t="s">
        <v>0</v>
      </c>
      <c r="I18" s="6" t="s">
        <v>28</v>
      </c>
      <c r="J18" t="s">
        <v>31</v>
      </c>
    </row>
    <row r="19" spans="1:11" x14ac:dyDescent="0.25">
      <c r="A19" s="6">
        <v>301</v>
      </c>
      <c r="B19" s="6" t="s">
        <v>9</v>
      </c>
      <c r="C19" s="6" t="s">
        <v>10</v>
      </c>
      <c r="D19" s="6" t="s">
        <v>11</v>
      </c>
      <c r="E19" s="6">
        <v>2</v>
      </c>
      <c r="F19" s="6">
        <v>45000</v>
      </c>
      <c r="G19" s="6" t="s">
        <v>12</v>
      </c>
      <c r="H19" s="6">
        <f>E19*F19</f>
        <v>90000</v>
      </c>
      <c r="I19" s="6">
        <v>18</v>
      </c>
      <c r="J19">
        <f>H19*VLOOKUP(D19,$D$14:$E$16,2,FALSE)</f>
        <v>16200</v>
      </c>
    </row>
    <row r="20" spans="1:11" x14ac:dyDescent="0.25">
      <c r="A20" s="6">
        <v>302</v>
      </c>
      <c r="B20" s="6" t="s">
        <v>13</v>
      </c>
      <c r="C20" s="6" t="s">
        <v>14</v>
      </c>
      <c r="D20" s="6" t="s">
        <v>15</v>
      </c>
      <c r="E20" s="6">
        <v>5</v>
      </c>
      <c r="F20" s="6">
        <v>15000</v>
      </c>
      <c r="G20" s="6" t="s">
        <v>16</v>
      </c>
      <c r="H20" s="6">
        <f t="shared" ref="H20:H24" si="1">E20*F20</f>
        <v>75000</v>
      </c>
      <c r="I20" s="6">
        <v>12</v>
      </c>
      <c r="J20" s="7">
        <f t="shared" ref="J20:J24" si="2">H20*VLOOKUP(D20,$D$14:$E$16,2,FALSE)</f>
        <v>9000</v>
      </c>
    </row>
    <row r="21" spans="1:11" x14ac:dyDescent="0.25">
      <c r="A21" s="6">
        <v>303</v>
      </c>
      <c r="B21" s="6" t="s">
        <v>17</v>
      </c>
      <c r="C21" s="6" t="s">
        <v>18</v>
      </c>
      <c r="D21" s="6" t="s">
        <v>19</v>
      </c>
      <c r="E21" s="6">
        <v>3</v>
      </c>
      <c r="F21" s="6">
        <v>18000</v>
      </c>
      <c r="G21" s="6" t="s">
        <v>20</v>
      </c>
      <c r="H21" s="6">
        <f t="shared" si="1"/>
        <v>54000</v>
      </c>
      <c r="I21" s="6">
        <v>12</v>
      </c>
      <c r="J21" s="7">
        <f t="shared" si="2"/>
        <v>6480</v>
      </c>
    </row>
    <row r="22" spans="1:11" x14ac:dyDescent="0.25">
      <c r="A22" s="6">
        <v>304</v>
      </c>
      <c r="B22" s="6" t="s">
        <v>21</v>
      </c>
      <c r="C22" s="6" t="s">
        <v>22</v>
      </c>
      <c r="D22" s="6" t="s">
        <v>11</v>
      </c>
      <c r="E22" s="6">
        <v>1</v>
      </c>
      <c r="F22" s="6">
        <v>45000</v>
      </c>
      <c r="G22" s="6" t="s">
        <v>23</v>
      </c>
      <c r="H22" s="6">
        <f t="shared" si="1"/>
        <v>45000</v>
      </c>
      <c r="I22" s="6">
        <v>18</v>
      </c>
      <c r="J22" s="7">
        <f t="shared" si="2"/>
        <v>8100</v>
      </c>
    </row>
    <row r="23" spans="1:11" x14ac:dyDescent="0.25">
      <c r="A23" s="6">
        <v>305</v>
      </c>
      <c r="B23" s="6" t="s">
        <v>9</v>
      </c>
      <c r="C23" s="6" t="s">
        <v>10</v>
      </c>
      <c r="D23" s="6" t="s">
        <v>15</v>
      </c>
      <c r="E23" s="6">
        <v>4</v>
      </c>
      <c r="F23" s="6">
        <v>15000</v>
      </c>
      <c r="G23" s="6" t="s">
        <v>24</v>
      </c>
      <c r="H23" s="6">
        <f t="shared" si="1"/>
        <v>60000</v>
      </c>
      <c r="I23" s="6">
        <v>12</v>
      </c>
      <c r="J23" s="7">
        <f t="shared" si="2"/>
        <v>7200</v>
      </c>
    </row>
    <row r="24" spans="1:11" x14ac:dyDescent="0.25">
      <c r="A24" s="6">
        <v>306</v>
      </c>
      <c r="B24" s="6" t="s">
        <v>13</v>
      </c>
      <c r="C24" s="6" t="s">
        <v>14</v>
      </c>
      <c r="D24" s="6" t="s">
        <v>11</v>
      </c>
      <c r="E24" s="6">
        <v>2</v>
      </c>
      <c r="F24" s="6">
        <v>45000</v>
      </c>
      <c r="G24" s="6" t="s">
        <v>25</v>
      </c>
      <c r="H24" s="6">
        <f t="shared" si="1"/>
        <v>90000</v>
      </c>
      <c r="I24" s="6">
        <v>12</v>
      </c>
      <c r="J24" s="7">
        <f t="shared" si="2"/>
        <v>16200</v>
      </c>
    </row>
    <row r="26" spans="1:11" x14ac:dyDescent="0.25">
      <c r="A26" s="7" t="s">
        <v>30</v>
      </c>
      <c r="B26" s="7"/>
      <c r="C26" s="7"/>
      <c r="D26" s="7"/>
      <c r="E26" s="7"/>
    </row>
    <row r="28" spans="1:11" x14ac:dyDescent="0.25">
      <c r="A28" s="7" t="s">
        <v>2</v>
      </c>
      <c r="B28" s="7" t="s">
        <v>3</v>
      </c>
      <c r="C28" s="7" t="s">
        <v>4</v>
      </c>
      <c r="D28" s="7" t="s">
        <v>5</v>
      </c>
      <c r="E28" s="7" t="s">
        <v>6</v>
      </c>
      <c r="F28" s="7" t="s">
        <v>7</v>
      </c>
      <c r="G28" s="7" t="s">
        <v>8</v>
      </c>
      <c r="H28" s="7" t="s">
        <v>0</v>
      </c>
      <c r="I28" s="7" t="s">
        <v>28</v>
      </c>
      <c r="J28" s="7" t="s">
        <v>31</v>
      </c>
    </row>
    <row r="29" spans="1:11" x14ac:dyDescent="0.25">
      <c r="A29" s="7">
        <v>301</v>
      </c>
      <c r="B29" s="7" t="s">
        <v>9</v>
      </c>
      <c r="C29" s="7" t="s">
        <v>10</v>
      </c>
      <c r="D29" s="7" t="s">
        <v>11</v>
      </c>
      <c r="E29" s="7">
        <v>2</v>
      </c>
      <c r="F29" s="7">
        <v>45000</v>
      </c>
      <c r="G29" s="7" t="s">
        <v>12</v>
      </c>
      <c r="H29" s="7">
        <f>E29*F29</f>
        <v>90000</v>
      </c>
      <c r="I29" s="7">
        <v>18</v>
      </c>
      <c r="J29" s="7">
        <f>H29*VLOOKUP(D29,$D$14:$E$16,2,FALSE)</f>
        <v>16200</v>
      </c>
      <c r="K29">
        <f>H29+J29</f>
        <v>106200</v>
      </c>
    </row>
    <row r="30" spans="1:11" x14ac:dyDescent="0.25">
      <c r="A30" s="7">
        <v>302</v>
      </c>
      <c r="B30" s="7" t="s">
        <v>13</v>
      </c>
      <c r="C30" s="7" t="s">
        <v>14</v>
      </c>
      <c r="D30" s="7" t="s">
        <v>15</v>
      </c>
      <c r="E30" s="7">
        <v>5</v>
      </c>
      <c r="F30" s="7">
        <v>15000</v>
      </c>
      <c r="G30" s="7" t="s">
        <v>16</v>
      </c>
      <c r="H30" s="7">
        <f t="shared" ref="H30:H34" si="3">E30*F30</f>
        <v>75000</v>
      </c>
      <c r="I30" s="7">
        <v>12</v>
      </c>
      <c r="J30" s="7">
        <f t="shared" ref="J30:J34" si="4">H30*VLOOKUP(D30,$D$14:$E$16,2,FALSE)</f>
        <v>9000</v>
      </c>
      <c r="K30" s="7">
        <f t="shared" ref="K30:K34" si="5">H30+J30</f>
        <v>84000</v>
      </c>
    </row>
    <row r="31" spans="1:11" x14ac:dyDescent="0.25">
      <c r="A31" s="7">
        <v>303</v>
      </c>
      <c r="B31" s="7" t="s">
        <v>17</v>
      </c>
      <c r="C31" s="7" t="s">
        <v>18</v>
      </c>
      <c r="D31" s="7" t="s">
        <v>19</v>
      </c>
      <c r="E31" s="7">
        <v>3</v>
      </c>
      <c r="F31" s="7">
        <v>18000</v>
      </c>
      <c r="G31" s="7" t="s">
        <v>20</v>
      </c>
      <c r="H31" s="7">
        <f t="shared" si="3"/>
        <v>54000</v>
      </c>
      <c r="I31" s="7">
        <v>12</v>
      </c>
      <c r="J31" s="7">
        <f t="shared" si="4"/>
        <v>6480</v>
      </c>
      <c r="K31" s="7">
        <f t="shared" si="5"/>
        <v>60480</v>
      </c>
    </row>
    <row r="32" spans="1:11" x14ac:dyDescent="0.25">
      <c r="A32" s="7">
        <v>304</v>
      </c>
      <c r="B32" s="7" t="s">
        <v>21</v>
      </c>
      <c r="C32" s="7" t="s">
        <v>22</v>
      </c>
      <c r="D32" s="7" t="s">
        <v>11</v>
      </c>
      <c r="E32" s="7">
        <v>1</v>
      </c>
      <c r="F32" s="7">
        <v>45000</v>
      </c>
      <c r="G32" s="7" t="s">
        <v>23</v>
      </c>
      <c r="H32" s="7">
        <f t="shared" si="3"/>
        <v>45000</v>
      </c>
      <c r="I32" s="7">
        <v>18</v>
      </c>
      <c r="J32" s="7">
        <f t="shared" si="4"/>
        <v>8100</v>
      </c>
      <c r="K32" s="7">
        <f t="shared" si="5"/>
        <v>53100</v>
      </c>
    </row>
    <row r="33" spans="1:11" x14ac:dyDescent="0.25">
      <c r="A33" s="7">
        <v>305</v>
      </c>
      <c r="B33" s="7" t="s">
        <v>9</v>
      </c>
      <c r="C33" s="7" t="s">
        <v>10</v>
      </c>
      <c r="D33" s="7" t="s">
        <v>15</v>
      </c>
      <c r="E33" s="7">
        <v>4</v>
      </c>
      <c r="F33" s="7">
        <v>15000</v>
      </c>
      <c r="G33" s="7" t="s">
        <v>24</v>
      </c>
      <c r="H33" s="7">
        <f t="shared" si="3"/>
        <v>60000</v>
      </c>
      <c r="I33" s="7">
        <v>12</v>
      </c>
      <c r="J33" s="7">
        <f t="shared" si="4"/>
        <v>7200</v>
      </c>
      <c r="K33" s="7">
        <f t="shared" si="5"/>
        <v>67200</v>
      </c>
    </row>
    <row r="34" spans="1:11" x14ac:dyDescent="0.25">
      <c r="A34" s="7">
        <v>306</v>
      </c>
      <c r="B34" s="7" t="s">
        <v>13</v>
      </c>
      <c r="C34" s="7" t="s">
        <v>14</v>
      </c>
      <c r="D34" s="7" t="s">
        <v>11</v>
      </c>
      <c r="E34" s="7">
        <v>2</v>
      </c>
      <c r="F34" s="7">
        <v>45000</v>
      </c>
      <c r="G34" s="7" t="s">
        <v>25</v>
      </c>
      <c r="H34" s="7">
        <f t="shared" si="3"/>
        <v>90000</v>
      </c>
      <c r="I34" s="7">
        <v>12</v>
      </c>
      <c r="J34" s="7">
        <f t="shared" si="4"/>
        <v>16200</v>
      </c>
      <c r="K34" s="7">
        <f t="shared" si="5"/>
        <v>106200</v>
      </c>
    </row>
    <row r="36" spans="1:11" x14ac:dyDescent="0.25">
      <c r="A36" s="8" t="s">
        <v>32</v>
      </c>
      <c r="B36" s="8"/>
      <c r="C36" s="8"/>
      <c r="D36" s="8"/>
      <c r="E36" s="8"/>
      <c r="F36" s="8"/>
      <c r="G36" s="8"/>
    </row>
    <row r="38" spans="1:11" x14ac:dyDescent="0.25">
      <c r="A38">
        <f>SUM(K29:K34)</f>
        <v>477180</v>
      </c>
    </row>
    <row r="39" spans="1:11" x14ac:dyDescent="0.25">
      <c r="A39" s="8">
        <f t="shared" ref="A39:A42" si="6">SUM(K30:K35)</f>
        <v>370980</v>
      </c>
    </row>
    <row r="40" spans="1:11" x14ac:dyDescent="0.25">
      <c r="A40" s="8">
        <f t="shared" si="6"/>
        <v>286980</v>
      </c>
    </row>
    <row r="41" spans="1:11" x14ac:dyDescent="0.25">
      <c r="A41" s="8">
        <f t="shared" si="6"/>
        <v>226500</v>
      </c>
    </row>
    <row r="42" spans="1:11" x14ac:dyDescent="0.25">
      <c r="A42" s="8">
        <f t="shared" si="6"/>
        <v>173400</v>
      </c>
    </row>
    <row r="43" spans="1:11" x14ac:dyDescent="0.25">
      <c r="A43" s="8">
        <f>SUM(K34:K39)</f>
        <v>106200</v>
      </c>
    </row>
    <row r="45" spans="1:11" x14ac:dyDescent="0.25">
      <c r="A45" s="9" t="s">
        <v>33</v>
      </c>
      <c r="B45" s="9"/>
      <c r="C45" s="9"/>
      <c r="D45" s="9"/>
      <c r="E45" s="9"/>
    </row>
    <row r="46" spans="1:11" x14ac:dyDescent="0.25">
      <c r="A46">
        <f>COUNT(E29:E34)</f>
        <v>6</v>
      </c>
    </row>
    <row r="48" spans="1:11" x14ac:dyDescent="0.25">
      <c r="A48" s="10" t="s">
        <v>34</v>
      </c>
      <c r="B48" s="10"/>
      <c r="C48" s="10"/>
      <c r="D48" s="10"/>
      <c r="E48" s="10"/>
    </row>
    <row r="51" spans="1:13" x14ac:dyDescent="0.25">
      <c r="A51" s="11" t="s">
        <v>35</v>
      </c>
      <c r="B51" s="11"/>
      <c r="C51" s="11"/>
      <c r="D51" s="11"/>
      <c r="E51" s="11"/>
      <c r="F51" s="11"/>
    </row>
    <row r="53" spans="1:13" x14ac:dyDescent="0.25">
      <c r="A53" s="11" t="s">
        <v>2</v>
      </c>
      <c r="B53" s="11" t="s">
        <v>3</v>
      </c>
      <c r="C53" s="11" t="s">
        <v>4</v>
      </c>
      <c r="D53" s="11" t="s">
        <v>5</v>
      </c>
      <c r="E53" s="11" t="s">
        <v>6</v>
      </c>
      <c r="F53" s="11" t="s">
        <v>7</v>
      </c>
      <c r="G53" s="11" t="s">
        <v>8</v>
      </c>
      <c r="H53" s="11" t="s">
        <v>0</v>
      </c>
      <c r="I53" s="11" t="s">
        <v>28</v>
      </c>
      <c r="J53" s="11" t="s">
        <v>31</v>
      </c>
      <c r="K53" t="s">
        <v>36</v>
      </c>
    </row>
    <row r="54" spans="1:13" x14ac:dyDescent="0.25">
      <c r="A54" s="11">
        <v>301</v>
      </c>
      <c r="B54" s="11" t="s">
        <v>9</v>
      </c>
      <c r="C54" s="11" t="s">
        <v>10</v>
      </c>
      <c r="D54" s="11" t="s">
        <v>11</v>
      </c>
      <c r="E54" s="11">
        <v>2</v>
      </c>
      <c r="F54" s="11">
        <v>45000</v>
      </c>
      <c r="G54" s="11" t="s">
        <v>12</v>
      </c>
      <c r="H54" s="11">
        <f>E54*F54</f>
        <v>90000</v>
      </c>
      <c r="I54" s="11">
        <v>18</v>
      </c>
      <c r="J54" s="11">
        <f>H54*VLOOKUP(D54,$D$14:$E$16,2,FALSE)</f>
        <v>16200</v>
      </c>
      <c r="K54" t="str" cm="1">
        <f t="array" ref="K54:K59">IF(E54:E59&gt;3,"high","low")</f>
        <v>low</v>
      </c>
    </row>
    <row r="55" spans="1:13" x14ac:dyDescent="0.25">
      <c r="A55" s="11">
        <v>302</v>
      </c>
      <c r="B55" s="11" t="s">
        <v>13</v>
      </c>
      <c r="C55" s="11" t="s">
        <v>14</v>
      </c>
      <c r="D55" s="11" t="s">
        <v>15</v>
      </c>
      <c r="E55" s="11">
        <v>5</v>
      </c>
      <c r="F55" s="11">
        <v>15000</v>
      </c>
      <c r="G55" s="11" t="s">
        <v>16</v>
      </c>
      <c r="H55" s="11">
        <f t="shared" ref="H55:H59" si="7">E55*F55</f>
        <v>75000</v>
      </c>
      <c r="I55" s="11">
        <v>12</v>
      </c>
      <c r="J55" s="11">
        <f t="shared" ref="J55:J59" si="8">H55*VLOOKUP(D55,$D$14:$E$16,2,FALSE)</f>
        <v>9000</v>
      </c>
      <c r="K55" t="str">
        <v>high</v>
      </c>
    </row>
    <row r="56" spans="1:13" x14ac:dyDescent="0.25">
      <c r="A56" s="11">
        <v>303</v>
      </c>
      <c r="B56" s="11" t="s">
        <v>17</v>
      </c>
      <c r="C56" s="11" t="s">
        <v>18</v>
      </c>
      <c r="D56" s="11" t="s">
        <v>19</v>
      </c>
      <c r="E56" s="11">
        <v>3</v>
      </c>
      <c r="F56" s="11">
        <v>18000</v>
      </c>
      <c r="G56" s="11" t="s">
        <v>20</v>
      </c>
      <c r="H56" s="11">
        <f t="shared" si="7"/>
        <v>54000</v>
      </c>
      <c r="I56" s="11">
        <v>12</v>
      </c>
      <c r="J56" s="11">
        <f t="shared" si="8"/>
        <v>6480</v>
      </c>
      <c r="K56" t="str">
        <v>low</v>
      </c>
    </row>
    <row r="57" spans="1:13" x14ac:dyDescent="0.25">
      <c r="A57" s="11">
        <v>304</v>
      </c>
      <c r="B57" s="11" t="s">
        <v>21</v>
      </c>
      <c r="C57" s="11" t="s">
        <v>22</v>
      </c>
      <c r="D57" s="11" t="s">
        <v>11</v>
      </c>
      <c r="E57" s="11">
        <v>1</v>
      </c>
      <c r="F57" s="11">
        <v>45000</v>
      </c>
      <c r="G57" s="11" t="s">
        <v>23</v>
      </c>
      <c r="H57" s="11">
        <f t="shared" si="7"/>
        <v>45000</v>
      </c>
      <c r="I57" s="11">
        <v>18</v>
      </c>
      <c r="J57" s="11">
        <f t="shared" si="8"/>
        <v>8100</v>
      </c>
      <c r="K57" t="str">
        <v>low</v>
      </c>
    </row>
    <row r="58" spans="1:13" x14ac:dyDescent="0.25">
      <c r="A58" s="11">
        <v>305</v>
      </c>
      <c r="B58" s="11" t="s">
        <v>9</v>
      </c>
      <c r="C58" s="11" t="s">
        <v>10</v>
      </c>
      <c r="D58" s="11" t="s">
        <v>15</v>
      </c>
      <c r="E58" s="11">
        <v>4</v>
      </c>
      <c r="F58" s="11">
        <v>15000</v>
      </c>
      <c r="G58" s="11" t="s">
        <v>24</v>
      </c>
      <c r="H58" s="11">
        <f t="shared" si="7"/>
        <v>60000</v>
      </c>
      <c r="I58" s="11">
        <v>12</v>
      </c>
      <c r="J58" s="11">
        <f t="shared" si="8"/>
        <v>7200</v>
      </c>
      <c r="K58" t="str">
        <v>high</v>
      </c>
    </row>
    <row r="59" spans="1:13" x14ac:dyDescent="0.25">
      <c r="A59" s="11">
        <v>306</v>
      </c>
      <c r="B59" s="11" t="s">
        <v>13</v>
      </c>
      <c r="C59" s="11" t="s">
        <v>14</v>
      </c>
      <c r="D59" s="11" t="s">
        <v>11</v>
      </c>
      <c r="E59" s="11">
        <v>2</v>
      </c>
      <c r="F59" s="11">
        <v>45000</v>
      </c>
      <c r="G59" s="11" t="s">
        <v>25</v>
      </c>
      <c r="H59" s="11">
        <f t="shared" si="7"/>
        <v>90000</v>
      </c>
      <c r="I59" s="11">
        <v>12</v>
      </c>
      <c r="J59" s="11">
        <f t="shared" si="8"/>
        <v>16200</v>
      </c>
      <c r="K59" t="str">
        <v>low</v>
      </c>
    </row>
    <row r="61" spans="1:13" x14ac:dyDescent="0.25">
      <c r="A61" s="12" t="s">
        <v>37</v>
      </c>
      <c r="B61" s="12"/>
      <c r="C61" s="12"/>
      <c r="D61" s="12"/>
      <c r="E61" s="12"/>
    </row>
    <row r="63" spans="1:13" x14ac:dyDescent="0.25">
      <c r="A63" s="12" t="s">
        <v>2</v>
      </c>
      <c r="B63" s="12" t="s">
        <v>3</v>
      </c>
      <c r="C63" s="12" t="s">
        <v>4</v>
      </c>
      <c r="D63" s="12" t="s">
        <v>5</v>
      </c>
      <c r="E63" s="12" t="s">
        <v>6</v>
      </c>
      <c r="F63" s="12" t="s">
        <v>7</v>
      </c>
      <c r="G63" s="12" t="s">
        <v>8</v>
      </c>
      <c r="H63" s="12" t="s">
        <v>0</v>
      </c>
      <c r="I63" s="12" t="s">
        <v>28</v>
      </c>
      <c r="J63" s="12" t="s">
        <v>31</v>
      </c>
      <c r="K63" s="12"/>
      <c r="L63" t="s">
        <v>38</v>
      </c>
      <c r="M63" t="s">
        <v>39</v>
      </c>
    </row>
    <row r="64" spans="1:13" x14ac:dyDescent="0.25">
      <c r="A64" s="12">
        <v>301</v>
      </c>
      <c r="B64" s="12" t="s">
        <v>9</v>
      </c>
      <c r="C64" s="12" t="s">
        <v>10</v>
      </c>
      <c r="D64" s="12" t="s">
        <v>11</v>
      </c>
      <c r="E64" s="12">
        <v>2</v>
      </c>
      <c r="F64" s="12">
        <v>45000</v>
      </c>
      <c r="G64" s="12" t="s">
        <v>12</v>
      </c>
      <c r="H64" s="12">
        <f>E64*F64</f>
        <v>90000</v>
      </c>
      <c r="I64" s="12">
        <v>18</v>
      </c>
      <c r="J64" s="12">
        <f>H64*VLOOKUP(D64,$D$14:$E$16,2,FALSE)</f>
        <v>16200</v>
      </c>
      <c r="K64" s="12">
        <f>H64+J64</f>
        <v>106200</v>
      </c>
      <c r="L64">
        <f>MAX(K64:K69)</f>
        <v>106200</v>
      </c>
      <c r="M64">
        <f>MIN(K64:K69)</f>
        <v>53100</v>
      </c>
    </row>
    <row r="65" spans="1:12" x14ac:dyDescent="0.25">
      <c r="A65" s="12">
        <v>302</v>
      </c>
      <c r="B65" s="12" t="s">
        <v>13</v>
      </c>
      <c r="C65" s="12" t="s">
        <v>14</v>
      </c>
      <c r="D65" s="12" t="s">
        <v>15</v>
      </c>
      <c r="E65" s="12">
        <v>5</v>
      </c>
      <c r="F65" s="12">
        <v>15000</v>
      </c>
      <c r="G65" s="12" t="s">
        <v>16</v>
      </c>
      <c r="H65" s="12">
        <f t="shared" ref="H65:H69" si="9">E65*F65</f>
        <v>75000</v>
      </c>
      <c r="I65" s="12">
        <v>12</v>
      </c>
      <c r="J65" s="12">
        <f t="shared" ref="J65:J69" si="10">H65*VLOOKUP(D65,$D$14:$E$16,2,FALSE)</f>
        <v>9000</v>
      </c>
      <c r="K65" s="12">
        <f t="shared" ref="K65:K69" si="11">H65+J65</f>
        <v>84000</v>
      </c>
      <c r="L65" s="12"/>
    </row>
    <row r="66" spans="1:12" x14ac:dyDescent="0.25">
      <c r="A66" s="12">
        <v>303</v>
      </c>
      <c r="B66" s="12" t="s">
        <v>17</v>
      </c>
      <c r="C66" s="12" t="s">
        <v>18</v>
      </c>
      <c r="D66" s="12" t="s">
        <v>19</v>
      </c>
      <c r="E66" s="12">
        <v>3</v>
      </c>
      <c r="F66" s="12">
        <v>18000</v>
      </c>
      <c r="G66" s="12" t="s">
        <v>20</v>
      </c>
      <c r="H66" s="12">
        <f t="shared" si="9"/>
        <v>54000</v>
      </c>
      <c r="I66" s="12">
        <v>12</v>
      </c>
      <c r="J66" s="12">
        <f t="shared" si="10"/>
        <v>6480</v>
      </c>
      <c r="K66" s="12">
        <f t="shared" si="11"/>
        <v>60480</v>
      </c>
      <c r="L66" s="12"/>
    </row>
    <row r="67" spans="1:12" x14ac:dyDescent="0.25">
      <c r="A67" s="12">
        <v>304</v>
      </c>
      <c r="B67" s="12" t="s">
        <v>21</v>
      </c>
      <c r="C67" s="12" t="s">
        <v>22</v>
      </c>
      <c r="D67" s="12" t="s">
        <v>11</v>
      </c>
      <c r="E67" s="12">
        <v>1</v>
      </c>
      <c r="F67" s="12">
        <v>45000</v>
      </c>
      <c r="G67" s="12" t="s">
        <v>23</v>
      </c>
      <c r="H67" s="12">
        <f t="shared" si="9"/>
        <v>45000</v>
      </c>
      <c r="I67" s="12">
        <v>18</v>
      </c>
      <c r="J67" s="12">
        <f t="shared" si="10"/>
        <v>8100</v>
      </c>
      <c r="K67" s="12">
        <f t="shared" si="11"/>
        <v>53100</v>
      </c>
      <c r="L67" s="12"/>
    </row>
    <row r="68" spans="1:12" x14ac:dyDescent="0.25">
      <c r="A68" s="12">
        <v>305</v>
      </c>
      <c r="B68" s="12" t="s">
        <v>9</v>
      </c>
      <c r="C68" s="12" t="s">
        <v>10</v>
      </c>
      <c r="D68" s="12" t="s">
        <v>15</v>
      </c>
      <c r="E68" s="12">
        <v>4</v>
      </c>
      <c r="F68" s="12">
        <v>15000</v>
      </c>
      <c r="G68" s="12" t="s">
        <v>24</v>
      </c>
      <c r="H68" s="12">
        <f t="shared" si="9"/>
        <v>60000</v>
      </c>
      <c r="I68" s="12">
        <v>12</v>
      </c>
      <c r="J68" s="12">
        <f t="shared" si="10"/>
        <v>7200</v>
      </c>
      <c r="K68" s="12">
        <f t="shared" si="11"/>
        <v>67200</v>
      </c>
      <c r="L68" s="12"/>
    </row>
    <row r="69" spans="1:12" x14ac:dyDescent="0.25">
      <c r="A69" s="12">
        <v>306</v>
      </c>
      <c r="B69" s="12" t="s">
        <v>13</v>
      </c>
      <c r="C69" s="12" t="s">
        <v>14</v>
      </c>
      <c r="D69" s="12" t="s">
        <v>11</v>
      </c>
      <c r="E69" s="12">
        <v>2</v>
      </c>
      <c r="F69" s="12">
        <v>45000</v>
      </c>
      <c r="G69" s="12" t="s">
        <v>25</v>
      </c>
      <c r="H69" s="12">
        <f t="shared" si="9"/>
        <v>90000</v>
      </c>
      <c r="I69" s="12">
        <v>12</v>
      </c>
      <c r="J69" s="12">
        <f t="shared" si="10"/>
        <v>16200</v>
      </c>
      <c r="K69" s="12">
        <f t="shared" si="11"/>
        <v>106200</v>
      </c>
      <c r="L6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2026-07-13T05:50:26Z</dcterms:created>
  <dcterms:modified xsi:type="dcterms:W3CDTF">2026-07-13T07:23:03Z</dcterms:modified>
</cp:coreProperties>
</file>