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bookViews>
    <workbookView xWindow="0" yWindow="0" windowWidth="23040" windowHeight="9072"/>
  </bookViews>
  <sheets>
    <sheet name="Sheet1" sheetId="1" r:id="rId1"/>
    <sheet name="Sheet2" sheetId="2" r:id="rId2"/>
  </sheets>
  <definedNames>
    <definedName name="_xlnm._FilterDatabase" localSheetId="0" hidden="1">Sheet1!$D$132:$E$138</definedName>
  </definedNames>
  <calcPr calcId="162913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8" i="1" l="1"/>
  <c r="H137" i="1"/>
  <c r="H136" i="1"/>
  <c r="H135" i="1"/>
  <c r="H134" i="1"/>
  <c r="H133" i="1"/>
  <c r="A38" i="1"/>
  <c r="A39" i="1"/>
  <c r="F125" i="1"/>
  <c r="F126" i="1"/>
  <c r="F127" i="1"/>
  <c r="F128" i="1"/>
  <c r="F124" i="1"/>
  <c r="A125" i="1"/>
  <c r="A126" i="1"/>
  <c r="A127" i="1"/>
  <c r="A128" i="1"/>
  <c r="A124" i="1"/>
  <c r="A120" i="1"/>
  <c r="O107" i="1"/>
  <c r="O106" i="1"/>
  <c r="O105" i="1"/>
  <c r="O104" i="1"/>
  <c r="O103" i="1"/>
  <c r="O102" i="1"/>
  <c r="I93" i="1"/>
  <c r="I94" i="1"/>
  <c r="I95" i="1"/>
  <c r="I96" i="1"/>
  <c r="I92" i="1"/>
  <c r="J95" i="1"/>
  <c r="J91" i="1"/>
  <c r="H93" i="1"/>
  <c r="H94" i="1"/>
  <c r="H95" i="1"/>
  <c r="H96" i="1"/>
  <c r="H92" i="1"/>
  <c r="E86" i="1"/>
  <c r="E87" i="1"/>
  <c r="E85" i="1"/>
  <c r="B74" i="1" l="1"/>
  <c r="B75" i="1"/>
  <c r="B76" i="1"/>
  <c r="B77" i="1"/>
  <c r="B73" i="1"/>
  <c r="M64" i="1" l="1"/>
  <c r="L64" i="1"/>
  <c r="H69" i="1"/>
  <c r="H68" i="1"/>
  <c r="H67" i="1"/>
  <c r="H66" i="1"/>
  <c r="H65" i="1"/>
  <c r="H64" i="1"/>
  <c r="K54" i="1" a="1"/>
  <c r="H59" i="1"/>
  <c r="J59" i="1" s="1"/>
  <c r="H58" i="1"/>
  <c r="J58" i="1" s="1"/>
  <c r="H57" i="1"/>
  <c r="J57" i="1" s="1"/>
  <c r="H56" i="1"/>
  <c r="J56" i="1" s="1"/>
  <c r="H55" i="1"/>
  <c r="J55" i="1" s="1"/>
  <c r="H54" i="1"/>
  <c r="J54" i="1" s="1"/>
  <c r="A46" i="1"/>
  <c r="A43" i="1"/>
  <c r="A40" i="1"/>
  <c r="A41" i="1"/>
  <c r="A42" i="1"/>
  <c r="K30" i="1"/>
  <c r="K31" i="1"/>
  <c r="K32" i="1"/>
  <c r="K33" i="1"/>
  <c r="K34" i="1"/>
  <c r="K29" i="1"/>
  <c r="H34" i="1"/>
  <c r="J34" i="1" s="1"/>
  <c r="H33" i="1"/>
  <c r="J33" i="1" s="1"/>
  <c r="H32" i="1"/>
  <c r="J32" i="1" s="1"/>
  <c r="H31" i="1"/>
  <c r="J31" i="1" s="1"/>
  <c r="H30" i="1"/>
  <c r="J30" i="1" s="1"/>
  <c r="H29" i="1"/>
  <c r="J29" i="1" s="1"/>
  <c r="J20" i="1"/>
  <c r="J21" i="1"/>
  <c r="J22" i="1"/>
  <c r="J23" i="1"/>
  <c r="J24" i="1"/>
  <c r="J19" i="1"/>
  <c r="H24" i="1"/>
  <c r="H23" i="1"/>
  <c r="H22" i="1"/>
  <c r="H21" i="1"/>
  <c r="H20" i="1"/>
  <c r="H19" i="1"/>
  <c r="H5" i="1"/>
  <c r="H6" i="1"/>
  <c r="H7" i="1"/>
  <c r="H8" i="1"/>
  <c r="H9" i="1"/>
  <c r="H4" i="1"/>
  <c r="J69" i="1" l="1"/>
  <c r="K69" i="1" s="1"/>
  <c r="J68" i="1"/>
  <c r="K68" i="1" s="1"/>
  <c r="J67" i="1"/>
  <c r="K67" i="1" s="1"/>
  <c r="J66" i="1"/>
  <c r="K66" i="1" s="1"/>
  <c r="J65" i="1"/>
  <c r="K65" i="1" s="1"/>
  <c r="J64" i="1"/>
  <c r="K64" i="1" s="1"/>
  <c r="K59" i="1"/>
  <c r="K58" i="1"/>
  <c r="K57" i="1"/>
  <c r="K56" i="1"/>
  <c r="K55" i="1"/>
  <c r="K54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<sst xmlns="http://schemas.openxmlformats.org/spreadsheetml/2006/main" count="344" uniqueCount="77">
  <si>
    <t>total</t>
  </si>
  <si>
    <t>1. Calculate Total Sales for each order (Quantity × Unit_Price).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</si>
  <si>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</si>
  <si>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</si>
  <si>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</si>
  <si>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</si>
  <si>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</si>
  <si>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</si>
  <si>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</si>
  <si>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</si>
  <si>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</si>
  <si>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</si>
  <si>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</si>
  <si>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</si>
  <si>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</si>
  <si>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</si>
  <si>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</si>
  <si>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</si>
  <si>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</si>
  <si>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</si>
  <si>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</si>
  <si>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</si>
  <si>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</si>
  <si>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</si>
  <si>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</si>
  <si>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</si>
  <si>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2. Calculate GST Amount using VLOOKUP from Product_Master.</t>
  </si>
  <si>
    <t>Category</t>
  </si>
  <si>
    <t>GST_%</t>
  </si>
  <si>
    <t>Electronics</t>
  </si>
  <si>
    <t>3. Find Final Amount payable (Total Sales + GST).</t>
  </si>
  <si>
    <t>amt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</si>
  <si>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</si>
  <si>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</si>
  <si>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</si>
  <si>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</si>
  <si>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classification</t>
  </si>
  <si>
    <t>8. Find the maximum and minimum Final Amount.</t>
  </si>
  <si>
    <t>max</t>
  </si>
  <si>
    <t>min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</si>
  <si>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</si>
  <si>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</si>
  <si>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</si>
  <si>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</si>
  <si>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</si>
  <si>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</si>
  <si>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</si>
  <si>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</si>
  <si>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</si>
  <si>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</si>
  <si>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</si>
  <si>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</si>
  <si>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</si>
  <si>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</si>
  <si>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</si>
  <si>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13. Find the topper based on average marks.</t>
  </si>
  <si>
    <t>14. Count students with Attendance above 90%.</t>
  </si>
  <si>
    <t>15. Use IF to classify students as Eligible (Attendance &gt;= 85%).</t>
  </si>
  <si>
    <t>eligileyt</t>
  </si>
  <si>
    <t>16. Create a Pivot Table showing Product-wise Total Sales.</t>
  </si>
  <si>
    <t>Row Labels</t>
  </si>
  <si>
    <t>Grand Total</t>
  </si>
  <si>
    <t>Sum of total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</si>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</sst>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Sheet1!$C$91</c:f>
              <c:strCache>
                <c:ptCount val="1"/>
                <c:pt idx="0">
                  <c:v>Maths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Sheet1!$A$92:$B$96</c:f>
              <c:multiLvlStrCache>
                <c:ptCount val="5"/>
                <c:lvl>
                  <c:pt idx="0">
                    <c:v>Rahul</c:v>
                  </c:pt>
                  <c:pt idx="1">
                    <c:v>Sneha</c:v>
                  </c:pt>
                  <c:pt idx="2">
                    <c:v>Arjun</c:v>
                  </c:pt>
                  <c:pt idx="3">
                    <c:v>Pooja</c:v>
                  </c:pt>
                  <c:pt idx="4">
                    <c:v>Vikas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</c:multiLvlStrCache>
            </c:multiLvlStrRef>
          </c:cat>
          <c:val>
            <c:numRef>
              <c:f>Sheet1!$C$92:$C$96</c:f>
              <c:numCache>
                <c:formatCode>General</c:formatCode>
                <c:ptCount val="5"/>
                <c:pt idx="0">
                  <c:v>78</c:v>
                </c:pt>
                <c:pt idx="1">
                  <c:v>88</c:v>
                </c:pt>
                <c:pt idx="2">
                  <c:v>65</c:v>
                </c:pt>
                <c:pt idx="3">
                  <c:v>92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2-45E3-86C6-A2F94936EB9F}"/>
            </c:ext>
          </c:extLst>
        </c:ser>
        <c:ser>
          <c:idx val="1"/>
          <c:order val="1"/>
          <c:tx>
            <c:strRef>
              <c:f>Sheet1!$D$91</c:f>
              <c:strCache>
                <c:ptCount val="1"/>
                <c:pt idx="0">
                  <c:v>Statistics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Sheet1!$A$92:$B$96</c:f>
              <c:multiLvlStrCache>
                <c:ptCount val="5"/>
                <c:lvl>
                  <c:pt idx="0">
                    <c:v>Rahul</c:v>
                  </c:pt>
                  <c:pt idx="1">
                    <c:v>Sneha</c:v>
                  </c:pt>
                  <c:pt idx="2">
                    <c:v>Arjun</c:v>
                  </c:pt>
                  <c:pt idx="3">
                    <c:v>Pooja</c:v>
                  </c:pt>
                  <c:pt idx="4">
                    <c:v>Vikas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</c:multiLvlStrCache>
            </c:multiLvlStrRef>
          </c:cat>
          <c:val>
            <c:numRef>
              <c:f>Sheet1!$D$92:$D$96</c:f>
              <c:numCache>
                <c:formatCode>General</c:formatCode>
                <c:ptCount val="5"/>
                <c:pt idx="0">
                  <c:v>82</c:v>
                </c:pt>
                <c:pt idx="1">
                  <c:v>91</c:v>
                </c:pt>
                <c:pt idx="2">
                  <c:v>70</c:v>
                </c:pt>
                <c:pt idx="3">
                  <c:v>89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62-45E3-86C6-A2F94936EB9F}"/>
            </c:ext>
          </c:extLst>
        </c:ser>
        <c:ser>
          <c:idx val="2"/>
          <c:order val="2"/>
          <c:tx>
            <c:strRef>
              <c:f>Sheet1!$E$91</c:f>
              <c:strCache>
                <c:ptCount val="1"/>
                <c:pt idx="0">
                  <c:v>Excel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Sheet1!$A$92:$B$96</c:f>
              <c:multiLvlStrCache>
                <c:ptCount val="5"/>
                <c:lvl>
                  <c:pt idx="0">
                    <c:v>Rahul</c:v>
                  </c:pt>
                  <c:pt idx="1">
                    <c:v>Sneha</c:v>
                  </c:pt>
                  <c:pt idx="2">
                    <c:v>Arjun</c:v>
                  </c:pt>
                  <c:pt idx="3">
                    <c:v>Pooja</c:v>
                  </c:pt>
                  <c:pt idx="4">
                    <c:v>Vikas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</c:multiLvlStrCache>
            </c:multiLvlStrRef>
          </c:cat>
          <c:val>
            <c:numRef>
              <c:f>Sheet1!$E$92:$E$96</c:f>
              <c:numCache>
                <c:formatCode>General</c:formatCode>
                <c:ptCount val="5"/>
                <c:pt idx="0">
                  <c:v>85</c:v>
                </c:pt>
                <c:pt idx="1">
                  <c:v>90</c:v>
                </c:pt>
                <c:pt idx="2">
                  <c:v>72</c:v>
                </c:pt>
                <c:pt idx="3">
                  <c:v>94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62-45E3-86C6-A2F94936EB9F}"/>
            </c:ext>
          </c:extLst>
        </c:ser>
        <c:ser>
          <c:idx val="3"/>
          <c:order val="3"/>
          <c:tx>
            <c:strRef>
              <c:f>Sheet1!$F$91</c:f>
              <c:strCache>
                <c:ptCount val="1"/>
                <c:pt idx="0">
                  <c:v>Attendance_%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Sheet1!$A$92:$B$96</c:f>
              <c:multiLvlStrCache>
                <c:ptCount val="5"/>
                <c:lvl>
                  <c:pt idx="0">
                    <c:v>Rahul</c:v>
                  </c:pt>
                  <c:pt idx="1">
                    <c:v>Sneha</c:v>
                  </c:pt>
                  <c:pt idx="2">
                    <c:v>Arjun</c:v>
                  </c:pt>
                  <c:pt idx="3">
                    <c:v>Pooja</c:v>
                  </c:pt>
                  <c:pt idx="4">
                    <c:v>Vikas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</c:multiLvlStrCache>
            </c:multiLvlStrRef>
          </c:cat>
          <c:val>
            <c:numRef>
              <c:f>Sheet1!$F$92:$F$96</c:f>
              <c:numCache>
                <c:formatCode>General</c:formatCode>
                <c:ptCount val="5"/>
                <c:pt idx="0">
                  <c:v>92</c:v>
                </c:pt>
                <c:pt idx="1">
                  <c:v>96</c:v>
                </c:pt>
                <c:pt idx="2">
                  <c:v>85</c:v>
                </c:pt>
                <c:pt idx="3">
                  <c:v>98</c:v>
                </c:pt>
                <c:pt idx="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62-45E3-86C6-A2F94936EB9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306955520"/>
        <c:axId val="1306966752"/>
      </c:barChart>
      <c:catAx>
        <c:axId val="130695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966752"/>
        <c:crosses val="autoZero"/>
        <c:auto val="1"/>
        <c:lblAlgn val="ctr"/>
        <c:lblOffset val="100"/>
        <c:noMultiLvlLbl val="0"/>
      </c:catAx>
      <c:valAx>
        <c:axId val="130696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95552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502920</xdr:colOff>
      <xdr:row>109</xdr:row>
      <xdr:rowOff>38100</xdr:rowOff>
    </xdr:from>
    <xdr:to>
      <xdr:col>15</xdr:col>
      <xdr:colOff>213360</xdr:colOff>
      <xdr:row>120</xdr:row>
      <xdr:rowOff>175260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16.935220486113" createdVersion="6" refreshedVersion="6" minRefreshableVersion="3" recordCount="6">
  <cacheSource type="worksheet">
    <worksheetSource ref="H101:P107" sheet="Sheet1"/>
  </cacheSource>
  <cacheFields count="9">
    <cacheField name="Order_ID" numFmtId="0">
      <sharedItems containsSemiMixedTypes="0" containsString="0" containsNumber="1" containsInteger="1" minValue="301" maxValue="306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 count="3">
        <s v="Laptop"/>
        <s v="Mobile"/>
        <s v="Tablet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5000" maxValue="45000"/>
    </cacheField>
    <cacheField name="Sales_Date" numFmtId="0">
      <sharedItems count="6">
        <s v="05-01-2025"/>
        <s v="07-01-2025"/>
        <s v="10-01-2025"/>
        <s v="12-01-2025"/>
        <s v="15-01-2025"/>
        <s v="18-01-2025"/>
      </sharedItems>
    </cacheField>
    <cacheField name="total" numFmtId="0">
      <sharedItems containsSemiMixedTypes="0" containsString="0" containsNumber="1" containsInteger="1" minValue="45000" maxValue="90000"/>
    </cacheField>
    <cacheField name="GST_%" numFmtId="0">
      <sharedItems containsSemiMixedTypes="0" containsString="0" containsNumber="1" containsInteger="1" minValue="12" maxValue="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n v="301"/>
    <x v="0"/>
    <s v="Amit"/>
    <x v="0"/>
    <n v="2"/>
    <n v="45000"/>
    <x v="0"/>
    <n v="90000"/>
    <n v="18"/>
  </r>
  <r>
    <n v="302"/>
    <x v="1"/>
    <s v="Riya"/>
    <x v="1"/>
    <n v="5"/>
    <n v="15000"/>
    <x v="1"/>
    <n v="75000"/>
    <n v="12"/>
  </r>
  <r>
    <n v="303"/>
    <x v="2"/>
    <s v="Kunal"/>
    <x v="2"/>
    <n v="3"/>
    <n v="18000"/>
    <x v="2"/>
    <n v="54000"/>
    <n v="12"/>
  </r>
  <r>
    <n v="304"/>
    <x v="3"/>
    <s v="Neha"/>
    <x v="0"/>
    <n v="1"/>
    <n v="45000"/>
    <x v="3"/>
    <n v="45000"/>
    <n v="18"/>
  </r>
  <r>
    <n v="305"/>
    <x v="0"/>
    <s v="Amit"/>
    <x v="1"/>
    <n v="4"/>
    <n v="15000"/>
    <x v="4"/>
    <n v="60000"/>
    <n v="12"/>
  </r>
  <r>
    <n v="306"/>
    <x v="1"/>
    <s v="Riya"/>
    <x v="0"/>
    <n v="2"/>
    <n v="45000"/>
    <x v="5"/>
    <n v="90000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111:H115" firstHeaderRow="1" firstDataRow="1" firstDataCol="1"/>
  <pivotFields count="9"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11:B116" firstHeaderRow="1" firstDataRow="1" firstDataCol="1"/>
  <pivotFields count="9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01:B105" firstHeaderRow="1" firstDataRow="1" firstDataCol="1"/>
  <pivotFields count="9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138"/>
  <sheetViews>
    <sheetView tabSelected="1" topLeftCell="A105" workbookViewId="0">
      <selection activeCell="D111" sqref="D111"/>
    </sheetView>
  </sheetViews>
  <sheetFormatPr defaultRowHeight="14.4" x14ac:dyDescent="0.3"/>
  <cols>
    <col min="1" max="1" width="12.5546875" customWidth="1"/>
    <col min="2" max="2" width="11.33203125" customWidth="1"/>
    <col min="3" max="3" width="10.6640625" customWidth="1"/>
    <col min="4" max="4" width="7.33203125" customWidth="1"/>
    <col min="5" max="5" width="7.77734375" customWidth="1"/>
    <col min="6" max="6" width="9.44140625" customWidth="1"/>
    <col min="7" max="7" width="12.5546875" customWidth="1"/>
    <col min="8" max="8" width="11.33203125" customWidth="1"/>
    <col min="9" max="9" width="9.33203125" bestFit="1" customWidth="1"/>
    <col min="10" max="10" width="14.88671875" bestFit="1" customWidth="1"/>
    <col min="11" max="11" width="12.44140625" bestFit="1" customWidth="1"/>
    <col min="12" max="12" width="14.21875" bestFit="1" customWidth="1"/>
  </cols>
  <sheetData>
    <row r="1" spans="1:8" x14ac:dyDescent="0.3">
      <c r="A1" s="2" t="s">
        <v>1</v>
      </c>
      <c r="B1" s="2"/>
      <c r="C1" s="2"/>
      <c r="D1" s="2"/>
      <c r="E1" s="2"/>
      <c r="F1" s="2"/>
    </row>
    <row r="2" spans="1:8" x14ac:dyDescent="0.3">
      <c r="A2" s="1"/>
      <c r="B2" s="1"/>
      <c r="C2" s="1"/>
      <c r="D2" s="1"/>
      <c r="E2" s="1"/>
      <c r="F2" s="1"/>
    </row>
    <row r="3" spans="1:8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t="s">
        <v>0</v>
      </c>
    </row>
    <row r="4" spans="1:8" x14ac:dyDescent="0.3">
      <c r="A4" s="3">
        <v>301</v>
      </c>
      <c r="B4" s="3" t="s">
        <v>9</v>
      </c>
      <c r="C4" s="3" t="s">
        <v>10</v>
      </c>
      <c r="D4" s="3" t="s">
        <v>11</v>
      </c>
      <c r="E4" s="3">
        <v>2</v>
      </c>
      <c r="F4" s="3">
        <v>45000</v>
      </c>
      <c r="G4" s="3" t="s">
        <v>12</v>
      </c>
      <c r="H4">
        <f>E4*F4</f>
        <v>90000</v>
      </c>
    </row>
    <row r="5" spans="1:8" x14ac:dyDescent="0.3">
      <c r="A5" s="3">
        <v>302</v>
      </c>
      <c r="B5" s="3" t="s">
        <v>13</v>
      </c>
      <c r="C5" s="3" t="s">
        <v>14</v>
      </c>
      <c r="D5" s="3" t="s">
        <v>15</v>
      </c>
      <c r="E5" s="3">
        <v>5</v>
      </c>
      <c r="F5" s="3">
        <v>15000</v>
      </c>
      <c r="G5" s="3" t="s">
        <v>16</v>
      </c>
      <c r="H5" s="3">
        <f t="shared" ref="H5:H9" si="0">E5*F5</f>
        <v>75000</v>
      </c>
    </row>
    <row r="6" spans="1:8" x14ac:dyDescent="0.3">
      <c r="A6" s="3">
        <v>303</v>
      </c>
      <c r="B6" s="3" t="s">
        <v>17</v>
      </c>
      <c r="C6" s="3" t="s">
        <v>18</v>
      </c>
      <c r="D6" s="3" t="s">
        <v>19</v>
      </c>
      <c r="E6" s="3">
        <v>3</v>
      </c>
      <c r="F6" s="3">
        <v>18000</v>
      </c>
      <c r="G6" s="3" t="s">
        <v>20</v>
      </c>
      <c r="H6" s="3">
        <f t="shared" si="0"/>
        <v>54000</v>
      </c>
    </row>
    <row r="7" spans="1:8" x14ac:dyDescent="0.3">
      <c r="A7" s="3">
        <v>304</v>
      </c>
      <c r="B7" s="3" t="s">
        <v>21</v>
      </c>
      <c r="C7" s="3" t="s">
        <v>22</v>
      </c>
      <c r="D7" s="3" t="s">
        <v>11</v>
      </c>
      <c r="E7" s="3">
        <v>1</v>
      </c>
      <c r="F7" s="3">
        <v>45000</v>
      </c>
      <c r="G7" s="3" t="s">
        <v>23</v>
      </c>
      <c r="H7" s="3">
        <f t="shared" si="0"/>
        <v>45000</v>
      </c>
    </row>
    <row r="8" spans="1:8" x14ac:dyDescent="0.3">
      <c r="A8" s="3">
        <v>305</v>
      </c>
      <c r="B8" s="3" t="s">
        <v>9</v>
      </c>
      <c r="C8" s="3" t="s">
        <v>10</v>
      </c>
      <c r="D8" s="3" t="s">
        <v>15</v>
      </c>
      <c r="E8" s="3">
        <v>4</v>
      </c>
      <c r="F8" s="3">
        <v>15000</v>
      </c>
      <c r="G8" s="3" t="s">
        <v>24</v>
      </c>
      <c r="H8" s="3">
        <f t="shared" si="0"/>
        <v>60000</v>
      </c>
    </row>
    <row r="9" spans="1:8" x14ac:dyDescent="0.3">
      <c r="A9" s="3">
        <v>306</v>
      </c>
      <c r="B9" s="3" t="s">
        <v>13</v>
      </c>
      <c r="C9" s="3" t="s">
        <v>14</v>
      </c>
      <c r="D9" s="3" t="s">
        <v>11</v>
      </c>
      <c r="E9" s="3">
        <v>2</v>
      </c>
      <c r="F9" s="3">
        <v>45000</v>
      </c>
      <c r="G9" s="3" t="s">
        <v>25</v>
      </c>
      <c r="H9" s="3">
        <f t="shared" si="0"/>
        <v>90000</v>
      </c>
    </row>
    <row r="11" spans="1:8" x14ac:dyDescent="0.3">
      <c r="A11" s="4" t="s">
        <v>26</v>
      </c>
      <c r="B11" s="4"/>
      <c r="C11" s="4"/>
      <c r="D11" s="4"/>
      <c r="E11" s="4"/>
      <c r="F11" s="4"/>
    </row>
    <row r="13" spans="1:8" x14ac:dyDescent="0.3">
      <c r="A13" s="5" t="s">
        <v>5</v>
      </c>
      <c r="B13" s="5" t="s">
        <v>27</v>
      </c>
      <c r="C13" s="5" t="s">
        <v>28</v>
      </c>
    </row>
    <row r="14" spans="1:8" x14ac:dyDescent="0.3">
      <c r="A14" s="5" t="s">
        <v>11</v>
      </c>
      <c r="B14" s="5" t="s">
        <v>29</v>
      </c>
      <c r="C14" s="5">
        <v>18</v>
      </c>
      <c r="D14" s="7" t="s">
        <v>11</v>
      </c>
      <c r="E14" s="7">
        <v>0.18</v>
      </c>
    </row>
    <row r="15" spans="1:8" x14ac:dyDescent="0.3">
      <c r="A15" s="5" t="s">
        <v>15</v>
      </c>
      <c r="B15" s="5" t="s">
        <v>29</v>
      </c>
      <c r="C15" s="5">
        <v>12</v>
      </c>
      <c r="D15" s="7" t="s">
        <v>15</v>
      </c>
      <c r="E15" s="7">
        <v>0.12</v>
      </c>
    </row>
    <row r="16" spans="1:8" x14ac:dyDescent="0.3">
      <c r="A16" s="5" t="s">
        <v>19</v>
      </c>
      <c r="B16" s="5" t="s">
        <v>29</v>
      </c>
      <c r="C16" s="5">
        <v>12</v>
      </c>
      <c r="D16" s="7" t="s">
        <v>19</v>
      </c>
      <c r="E16" s="7">
        <v>0.12</v>
      </c>
    </row>
    <row r="18" spans="1:11" x14ac:dyDescent="0.3">
      <c r="A18" s="6" t="s">
        <v>2</v>
      </c>
      <c r="B18" s="6" t="s">
        <v>3</v>
      </c>
      <c r="C18" s="6" t="s">
        <v>4</v>
      </c>
      <c r="D18" s="6" t="s">
        <v>5</v>
      </c>
      <c r="E18" s="6" t="s">
        <v>6</v>
      </c>
      <c r="F18" s="6" t="s">
        <v>7</v>
      </c>
      <c r="G18" s="6" t="s">
        <v>8</v>
      </c>
      <c r="H18" s="6" t="s">
        <v>0</v>
      </c>
      <c r="I18" s="6" t="s">
        <v>28</v>
      </c>
      <c r="J18" t="s">
        <v>31</v>
      </c>
    </row>
    <row r="19" spans="1:11" x14ac:dyDescent="0.3">
      <c r="A19" s="6">
        <v>301</v>
      </c>
      <c r="B19" s="6" t="s">
        <v>9</v>
      </c>
      <c r="C19" s="6" t="s">
        <v>10</v>
      </c>
      <c r="D19" s="6" t="s">
        <v>11</v>
      </c>
      <c r="E19" s="6">
        <v>2</v>
      </c>
      <c r="F19" s="6">
        <v>45000</v>
      </c>
      <c r="G19" s="6" t="s">
        <v>12</v>
      </c>
      <c r="H19" s="6">
        <f>E19*F19</f>
        <v>90000</v>
      </c>
      <c r="I19" s="6">
        <v>18</v>
      </c>
      <c r="J19">
        <f>H19*VLOOKUP(D19,$D$14:$E$16,2,FALSE)</f>
        <v>16200</v>
      </c>
    </row>
    <row r="20" spans="1:11" x14ac:dyDescent="0.3">
      <c r="A20" s="6">
        <v>302</v>
      </c>
      <c r="B20" s="6" t="s">
        <v>13</v>
      </c>
      <c r="C20" s="6" t="s">
        <v>14</v>
      </c>
      <c r="D20" s="6" t="s">
        <v>15</v>
      </c>
      <c r="E20" s="6">
        <v>5</v>
      </c>
      <c r="F20" s="6">
        <v>15000</v>
      </c>
      <c r="G20" s="6" t="s">
        <v>16</v>
      </c>
      <c r="H20" s="6">
        <f t="shared" ref="H20:H24" si="1">E20*F20</f>
        <v>75000</v>
      </c>
      <c r="I20" s="6">
        <v>12</v>
      </c>
      <c r="J20" s="7">
        <f t="shared" ref="J20:J24" si="2">H20*VLOOKUP(D20,$D$14:$E$16,2,FALSE)</f>
        <v>9000</v>
      </c>
    </row>
    <row r="21" spans="1:11" x14ac:dyDescent="0.3">
      <c r="A21" s="6">
        <v>303</v>
      </c>
      <c r="B21" s="6" t="s">
        <v>17</v>
      </c>
      <c r="C21" s="6" t="s">
        <v>18</v>
      </c>
      <c r="D21" s="6" t="s">
        <v>19</v>
      </c>
      <c r="E21" s="6">
        <v>3</v>
      </c>
      <c r="F21" s="6">
        <v>18000</v>
      </c>
      <c r="G21" s="6" t="s">
        <v>20</v>
      </c>
      <c r="H21" s="6">
        <f t="shared" si="1"/>
        <v>54000</v>
      </c>
      <c r="I21" s="6">
        <v>12</v>
      </c>
      <c r="J21" s="7">
        <f t="shared" si="2"/>
        <v>6480</v>
      </c>
    </row>
    <row r="22" spans="1:11" x14ac:dyDescent="0.3">
      <c r="A22" s="6">
        <v>304</v>
      </c>
      <c r="B22" s="6" t="s">
        <v>21</v>
      </c>
      <c r="C22" s="6" t="s">
        <v>22</v>
      </c>
      <c r="D22" s="6" t="s">
        <v>11</v>
      </c>
      <c r="E22" s="6">
        <v>1</v>
      </c>
      <c r="F22" s="6">
        <v>45000</v>
      </c>
      <c r="G22" s="6" t="s">
        <v>23</v>
      </c>
      <c r="H22" s="6">
        <f t="shared" si="1"/>
        <v>45000</v>
      </c>
      <c r="I22" s="6">
        <v>18</v>
      </c>
      <c r="J22" s="7">
        <f t="shared" si="2"/>
        <v>8100</v>
      </c>
    </row>
    <row r="23" spans="1:11" x14ac:dyDescent="0.3">
      <c r="A23" s="6">
        <v>305</v>
      </c>
      <c r="B23" s="6" t="s">
        <v>9</v>
      </c>
      <c r="C23" s="6" t="s">
        <v>10</v>
      </c>
      <c r="D23" s="6" t="s">
        <v>15</v>
      </c>
      <c r="E23" s="6">
        <v>4</v>
      </c>
      <c r="F23" s="6">
        <v>15000</v>
      </c>
      <c r="G23" s="6" t="s">
        <v>24</v>
      </c>
      <c r="H23" s="6">
        <f t="shared" si="1"/>
        <v>60000</v>
      </c>
      <c r="I23" s="6">
        <v>12</v>
      </c>
      <c r="J23" s="7">
        <f t="shared" si="2"/>
        <v>7200</v>
      </c>
    </row>
    <row r="24" spans="1:11" x14ac:dyDescent="0.3">
      <c r="A24" s="6">
        <v>306</v>
      </c>
      <c r="B24" s="6" t="s">
        <v>13</v>
      </c>
      <c r="C24" s="6" t="s">
        <v>14</v>
      </c>
      <c r="D24" s="6" t="s">
        <v>11</v>
      </c>
      <c r="E24" s="6">
        <v>2</v>
      </c>
      <c r="F24" s="6">
        <v>45000</v>
      </c>
      <c r="G24" s="6" t="s">
        <v>25</v>
      </c>
      <c r="H24" s="6">
        <f t="shared" si="1"/>
        <v>90000</v>
      </c>
      <c r="I24" s="6">
        <v>12</v>
      </c>
      <c r="J24" s="7">
        <f t="shared" si="2"/>
        <v>16200</v>
      </c>
    </row>
    <row r="26" spans="1:11" x14ac:dyDescent="0.3">
      <c r="A26" s="7" t="s">
        <v>30</v>
      </c>
      <c r="B26" s="7"/>
      <c r="C26" s="7"/>
      <c r="D26" s="7"/>
      <c r="E26" s="7"/>
    </row>
    <row r="28" spans="1:11" x14ac:dyDescent="0.3">
      <c r="A28" s="7" t="s">
        <v>2</v>
      </c>
      <c r="B28" s="7" t="s">
        <v>3</v>
      </c>
      <c r="C28" s="7" t="s">
        <v>4</v>
      </c>
      <c r="D28" s="7" t="s">
        <v>5</v>
      </c>
      <c r="E28" s="7" t="s">
        <v>6</v>
      </c>
      <c r="F28" s="7" t="s">
        <v>7</v>
      </c>
      <c r="G28" s="7" t="s">
        <v>8</v>
      </c>
      <c r="H28" s="7" t="s">
        <v>0</v>
      </c>
      <c r="I28" s="7" t="s">
        <v>28</v>
      </c>
      <c r="J28" s="7" t="s">
        <v>31</v>
      </c>
    </row>
    <row r="29" spans="1:11" x14ac:dyDescent="0.3">
      <c r="A29" s="7">
        <v>301</v>
      </c>
      <c r="B29" s="7" t="s">
        <v>9</v>
      </c>
      <c r="C29" s="7" t="s">
        <v>10</v>
      </c>
      <c r="D29" s="7" t="s">
        <v>11</v>
      </c>
      <c r="E29" s="7">
        <v>2</v>
      </c>
      <c r="F29" s="7">
        <v>45000</v>
      </c>
      <c r="G29" s="7" t="s">
        <v>12</v>
      </c>
      <c r="H29" s="7">
        <f>E29*F29</f>
        <v>90000</v>
      </c>
      <c r="I29" s="7">
        <v>18</v>
      </c>
      <c r="J29" s="7">
        <f>H29*VLOOKUP(D29,$D$14:$E$16,2,FALSE)</f>
        <v>16200</v>
      </c>
      <c r="K29">
        <f>H29+J29</f>
        <v>106200</v>
      </c>
    </row>
    <row r="30" spans="1:11" x14ac:dyDescent="0.3">
      <c r="A30" s="7">
        <v>302</v>
      </c>
      <c r="B30" s="7" t="s">
        <v>13</v>
      </c>
      <c r="C30" s="7" t="s">
        <v>14</v>
      </c>
      <c r="D30" s="7" t="s">
        <v>15</v>
      </c>
      <c r="E30" s="7">
        <v>5</v>
      </c>
      <c r="F30" s="7">
        <v>15000</v>
      </c>
      <c r="G30" s="7" t="s">
        <v>16</v>
      </c>
      <c r="H30" s="7">
        <f t="shared" ref="H30:H34" si="3">E30*F30</f>
        <v>75000</v>
      </c>
      <c r="I30" s="7">
        <v>12</v>
      </c>
      <c r="J30" s="7">
        <f t="shared" ref="J30:J34" si="4">H30*VLOOKUP(D30,$D$14:$E$16,2,FALSE)</f>
        <v>9000</v>
      </c>
      <c r="K30" s="7">
        <f t="shared" ref="K30:K34" si="5">H30+J30</f>
        <v>84000</v>
      </c>
    </row>
    <row r="31" spans="1:11" x14ac:dyDescent="0.3">
      <c r="A31" s="7">
        <v>303</v>
      </c>
      <c r="B31" s="7" t="s">
        <v>17</v>
      </c>
      <c r="C31" s="7" t="s">
        <v>18</v>
      </c>
      <c r="D31" s="7" t="s">
        <v>19</v>
      </c>
      <c r="E31" s="7">
        <v>3</v>
      </c>
      <c r="F31" s="7">
        <v>18000</v>
      </c>
      <c r="G31" s="7" t="s">
        <v>20</v>
      </c>
      <c r="H31" s="7">
        <f t="shared" si="3"/>
        <v>54000</v>
      </c>
      <c r="I31" s="7">
        <v>12</v>
      </c>
      <c r="J31" s="7">
        <f t="shared" si="4"/>
        <v>6480</v>
      </c>
      <c r="K31" s="7">
        <f t="shared" si="5"/>
        <v>60480</v>
      </c>
    </row>
    <row r="32" spans="1:11" x14ac:dyDescent="0.3">
      <c r="A32" s="7">
        <v>304</v>
      </c>
      <c r="B32" s="7" t="s">
        <v>21</v>
      </c>
      <c r="C32" s="7" t="s">
        <v>22</v>
      </c>
      <c r="D32" s="7" t="s">
        <v>11</v>
      </c>
      <c r="E32" s="7">
        <v>1</v>
      </c>
      <c r="F32" s="7">
        <v>45000</v>
      </c>
      <c r="G32" s="7" t="s">
        <v>23</v>
      </c>
      <c r="H32" s="7">
        <f t="shared" si="3"/>
        <v>45000</v>
      </c>
      <c r="I32" s="7">
        <v>18</v>
      </c>
      <c r="J32" s="7">
        <f t="shared" si="4"/>
        <v>8100</v>
      </c>
      <c r="K32" s="7">
        <f t="shared" si="5"/>
        <v>53100</v>
      </c>
    </row>
    <row r="33" spans="1:11" x14ac:dyDescent="0.3">
      <c r="A33" s="7">
        <v>305</v>
      </c>
      <c r="B33" s="7" t="s">
        <v>9</v>
      </c>
      <c r="C33" s="7" t="s">
        <v>10</v>
      </c>
      <c r="D33" s="7" t="s">
        <v>15</v>
      </c>
      <c r="E33" s="7">
        <v>4</v>
      </c>
      <c r="F33" s="7">
        <v>15000</v>
      </c>
      <c r="G33" s="7" t="s">
        <v>24</v>
      </c>
      <c r="H33" s="7">
        <f t="shared" si="3"/>
        <v>60000</v>
      </c>
      <c r="I33" s="7">
        <v>12</v>
      </c>
      <c r="J33" s="7">
        <f t="shared" si="4"/>
        <v>7200</v>
      </c>
      <c r="K33" s="7">
        <f t="shared" si="5"/>
        <v>67200</v>
      </c>
    </row>
    <row r="34" spans="1:11" x14ac:dyDescent="0.3">
      <c r="A34" s="7">
        <v>306</v>
      </c>
      <c r="B34" s="7" t="s">
        <v>13</v>
      </c>
      <c r="C34" s="7" t="s">
        <v>14</v>
      </c>
      <c r="D34" s="7" t="s">
        <v>11</v>
      </c>
      <c r="E34" s="7">
        <v>2</v>
      </c>
      <c r="F34" s="7">
        <v>45000</v>
      </c>
      <c r="G34" s="7" t="s">
        <v>25</v>
      </c>
      <c r="H34" s="7">
        <f t="shared" si="3"/>
        <v>90000</v>
      </c>
      <c r="I34" s="7">
        <v>12</v>
      </c>
      <c r="J34" s="7">
        <f t="shared" si="4"/>
        <v>16200</v>
      </c>
      <c r="K34" s="7">
        <f t="shared" si="5"/>
        <v>106200</v>
      </c>
    </row>
    <row r="36" spans="1:11" x14ac:dyDescent="0.3">
      <c r="A36" s="8" t="s">
        <v>32</v>
      </c>
      <c r="B36" s="8"/>
      <c r="C36" s="8"/>
      <c r="D36" s="8"/>
      <c r="E36" s="8"/>
      <c r="F36" s="8"/>
      <c r="G36" s="8"/>
    </row>
    <row r="38" spans="1:11" x14ac:dyDescent="0.3">
      <c r="A38">
        <f>SUM(K29:K34)</f>
        <v>477180</v>
      </c>
    </row>
    <row r="39" spans="1:11" x14ac:dyDescent="0.3">
      <c r="A39" s="8">
        <f t="shared" ref="A39:A42" si="6">SUM(K30:K35)</f>
        <v>370980</v>
      </c>
    </row>
    <row r="40" spans="1:11" x14ac:dyDescent="0.3">
      <c r="A40" s="8">
        <f t="shared" si="6"/>
        <v>286980</v>
      </c>
    </row>
    <row r="41" spans="1:11" x14ac:dyDescent="0.3">
      <c r="A41" s="8">
        <f t="shared" si="6"/>
        <v>226500</v>
      </c>
    </row>
    <row r="42" spans="1:11" x14ac:dyDescent="0.3">
      <c r="A42" s="8">
        <f t="shared" si="6"/>
        <v>173400</v>
      </c>
    </row>
    <row r="43" spans="1:11" x14ac:dyDescent="0.3">
      <c r="A43" s="8">
        <f>SUM(K34:K39)</f>
        <v>106200</v>
      </c>
    </row>
    <row r="45" spans="1:11" x14ac:dyDescent="0.3">
      <c r="A45" s="9" t="s">
        <v>33</v>
      </c>
      <c r="B45" s="9"/>
      <c r="C45" s="9"/>
      <c r="D45" s="9"/>
      <c r="E45" s="9"/>
    </row>
    <row r="46" spans="1:11" x14ac:dyDescent="0.3">
      <c r="A46">
        <f>COUNT(E29:E34)</f>
        <v>6</v>
      </c>
    </row>
    <row r="48" spans="1:11" x14ac:dyDescent="0.3">
      <c r="A48" s="10" t="s">
        <v>34</v>
      </c>
      <c r="B48" s="10"/>
      <c r="C48" s="10"/>
      <c r="D48" s="10"/>
      <c r="E48" s="10"/>
    </row>
    <row r="51" spans="1:13" x14ac:dyDescent="0.3">
      <c r="A51" s="11" t="s">
        <v>35</v>
      </c>
      <c r="B51" s="11"/>
      <c r="C51" s="11"/>
      <c r="D51" s="11"/>
      <c r="E51" s="11"/>
      <c r="F51" s="11"/>
    </row>
    <row r="53" spans="1:13" x14ac:dyDescent="0.3">
      <c r="A53" s="11" t="s">
        <v>2</v>
      </c>
      <c r="B53" s="11" t="s">
        <v>3</v>
      </c>
      <c r="C53" s="11" t="s">
        <v>4</v>
      </c>
      <c r="D53" s="11" t="s">
        <v>5</v>
      </c>
      <c r="E53" s="11" t="s">
        <v>6</v>
      </c>
      <c r="F53" s="11" t="s">
        <v>7</v>
      </c>
      <c r="G53" s="11" t="s">
        <v>8</v>
      </c>
      <c r="H53" s="11" t="s">
        <v>0</v>
      </c>
      <c r="I53" s="11" t="s">
        <v>28</v>
      </c>
      <c r="J53" s="11" t="s">
        <v>31</v>
      </c>
      <c r="K53" t="s">
        <v>36</v>
      </c>
    </row>
    <row r="54" spans="1:13" x14ac:dyDescent="0.3">
      <c r="A54" s="11">
        <v>301</v>
      </c>
      <c r="B54" s="11" t="s">
        <v>9</v>
      </c>
      <c r="C54" s="11" t="s">
        <v>10</v>
      </c>
      <c r="D54" s="11" t="s">
        <v>11</v>
      </c>
      <c r="E54" s="11">
        <v>2</v>
      </c>
      <c r="F54" s="11">
        <v>45000</v>
      </c>
      <c r="G54" s="11" t="s">
        <v>12</v>
      </c>
      <c r="H54" s="11">
        <f>E54*F54</f>
        <v>90000</v>
      </c>
      <c r="I54" s="11">
        <v>18</v>
      </c>
      <c r="J54" s="11">
        <f>H54*VLOOKUP(D54,$D$14:$E$16,2,FALSE)</f>
        <v>16200</v>
      </c>
      <c r="K54" t="str" cm="1">
        <f t="array" ref="K54:K59">IF(E54:E59&gt;3,"high","low")</f>
        <v>low</v>
      </c>
    </row>
    <row r="55" spans="1:13" x14ac:dyDescent="0.3">
      <c r="A55" s="11">
        <v>302</v>
      </c>
      <c r="B55" s="11" t="s">
        <v>13</v>
      </c>
      <c r="C55" s="11" t="s">
        <v>14</v>
      </c>
      <c r="D55" s="11" t="s">
        <v>15</v>
      </c>
      <c r="E55" s="11">
        <v>5</v>
      </c>
      <c r="F55" s="11">
        <v>15000</v>
      </c>
      <c r="G55" s="11" t="s">
        <v>16</v>
      </c>
      <c r="H55" s="11">
        <f t="shared" ref="H55:H59" si="7">E55*F55</f>
        <v>75000</v>
      </c>
      <c r="I55" s="11">
        <v>12</v>
      </c>
      <c r="J55" s="11">
        <f t="shared" ref="J55:J59" si="8">H55*VLOOKUP(D55,$D$14:$E$16,2,FALSE)</f>
        <v>9000</v>
      </c>
      <c r="K55" t="str">
        <v>high</v>
      </c>
    </row>
    <row r="56" spans="1:13" x14ac:dyDescent="0.3">
      <c r="A56" s="11">
        <v>303</v>
      </c>
      <c r="B56" s="11" t="s">
        <v>17</v>
      </c>
      <c r="C56" s="11" t="s">
        <v>18</v>
      </c>
      <c r="D56" s="11" t="s">
        <v>19</v>
      </c>
      <c r="E56" s="11">
        <v>3</v>
      </c>
      <c r="F56" s="11">
        <v>18000</v>
      </c>
      <c r="G56" s="11" t="s">
        <v>20</v>
      </c>
      <c r="H56" s="11">
        <f t="shared" si="7"/>
        <v>54000</v>
      </c>
      <c r="I56" s="11">
        <v>12</v>
      </c>
      <c r="J56" s="11">
        <f t="shared" si="8"/>
        <v>6480</v>
      </c>
      <c r="K56" t="str">
        <v>low</v>
      </c>
    </row>
    <row r="57" spans="1:13" x14ac:dyDescent="0.3">
      <c r="A57" s="11">
        <v>304</v>
      </c>
      <c r="B57" s="11" t="s">
        <v>21</v>
      </c>
      <c r="C57" s="11" t="s">
        <v>22</v>
      </c>
      <c r="D57" s="11" t="s">
        <v>11</v>
      </c>
      <c r="E57" s="11">
        <v>1</v>
      </c>
      <c r="F57" s="11">
        <v>45000</v>
      </c>
      <c r="G57" s="11" t="s">
        <v>23</v>
      </c>
      <c r="H57" s="11">
        <f t="shared" si="7"/>
        <v>45000</v>
      </c>
      <c r="I57" s="11">
        <v>18</v>
      </c>
      <c r="J57" s="11">
        <f t="shared" si="8"/>
        <v>8100</v>
      </c>
      <c r="K57" t="str">
        <v>low</v>
      </c>
    </row>
    <row r="58" spans="1:13" x14ac:dyDescent="0.3">
      <c r="A58" s="11">
        <v>305</v>
      </c>
      <c r="B58" s="11" t="s">
        <v>9</v>
      </c>
      <c r="C58" s="11" t="s">
        <v>10</v>
      </c>
      <c r="D58" s="11" t="s">
        <v>15</v>
      </c>
      <c r="E58" s="11">
        <v>4</v>
      </c>
      <c r="F58" s="11">
        <v>15000</v>
      </c>
      <c r="G58" s="11" t="s">
        <v>24</v>
      </c>
      <c r="H58" s="11">
        <f t="shared" si="7"/>
        <v>60000</v>
      </c>
      <c r="I58" s="11">
        <v>12</v>
      </c>
      <c r="J58" s="11">
        <f t="shared" si="8"/>
        <v>7200</v>
      </c>
      <c r="K58" t="str">
        <v>high</v>
      </c>
    </row>
    <row r="59" spans="1:13" x14ac:dyDescent="0.3">
      <c r="A59" s="11">
        <v>306</v>
      </c>
      <c r="B59" s="11" t="s">
        <v>13</v>
      </c>
      <c r="C59" s="11" t="s">
        <v>14</v>
      </c>
      <c r="D59" s="11" t="s">
        <v>11</v>
      </c>
      <c r="E59" s="11">
        <v>2</v>
      </c>
      <c r="F59" s="11">
        <v>45000</v>
      </c>
      <c r="G59" s="11" t="s">
        <v>25</v>
      </c>
      <c r="H59" s="11">
        <f t="shared" si="7"/>
        <v>90000</v>
      </c>
      <c r="I59" s="11">
        <v>12</v>
      </c>
      <c r="J59" s="11">
        <f t="shared" si="8"/>
        <v>16200</v>
      </c>
      <c r="K59" t="str">
        <v>low</v>
      </c>
    </row>
    <row r="61" spans="1:13" x14ac:dyDescent="0.3">
      <c r="A61" s="12" t="s">
        <v>37</v>
      </c>
      <c r="B61" s="12"/>
      <c r="C61" s="12"/>
      <c r="D61" s="12"/>
      <c r="E61" s="12"/>
    </row>
    <row r="63" spans="1:13" x14ac:dyDescent="0.3">
      <c r="A63" s="12" t="s">
        <v>2</v>
      </c>
      <c r="B63" s="12" t="s">
        <v>3</v>
      </c>
      <c r="C63" s="12" t="s">
        <v>4</v>
      </c>
      <c r="D63" s="12" t="s">
        <v>5</v>
      </c>
      <c r="E63" s="12" t="s">
        <v>6</v>
      </c>
      <c r="F63" s="12" t="s">
        <v>7</v>
      </c>
      <c r="G63" s="12" t="s">
        <v>8</v>
      </c>
      <c r="H63" s="12" t="s">
        <v>0</v>
      </c>
      <c r="I63" s="12" t="s">
        <v>28</v>
      </c>
      <c r="J63" s="12" t="s">
        <v>31</v>
      </c>
      <c r="K63" s="12"/>
      <c r="L63" t="s">
        <v>38</v>
      </c>
      <c r="M63" t="s">
        <v>39</v>
      </c>
    </row>
    <row r="64" spans="1:13" x14ac:dyDescent="0.3">
      <c r="A64" s="12">
        <v>301</v>
      </c>
      <c r="B64" s="12" t="s">
        <v>9</v>
      </c>
      <c r="C64" s="12" t="s">
        <v>10</v>
      </c>
      <c r="D64" s="12" t="s">
        <v>11</v>
      </c>
      <c r="E64" s="12">
        <v>2</v>
      </c>
      <c r="F64" s="12">
        <v>45000</v>
      </c>
      <c r="G64" s="12" t="s">
        <v>12</v>
      </c>
      <c r="H64" s="12">
        <f>E64*F64</f>
        <v>90000</v>
      </c>
      <c r="I64" s="12">
        <v>18</v>
      </c>
      <c r="J64" s="12">
        <f>H64*VLOOKUP(D64,$D$14:$E$16,2,FALSE)</f>
        <v>16200</v>
      </c>
      <c r="K64" s="12">
        <f>H64+J64</f>
        <v>106200</v>
      </c>
      <c r="L64">
        <f>MAX(K64:K69)</f>
        <v>106200</v>
      </c>
      <c r="M64">
        <f>MIN(K64:K69)</f>
        <v>53100</v>
      </c>
    </row>
    <row r="65" spans="1:12" x14ac:dyDescent="0.3">
      <c r="A65" s="12">
        <v>302</v>
      </c>
      <c r="B65" s="12" t="s">
        <v>13</v>
      </c>
      <c r="C65" s="12" t="s">
        <v>14</v>
      </c>
      <c r="D65" s="12" t="s">
        <v>15</v>
      </c>
      <c r="E65" s="12">
        <v>5</v>
      </c>
      <c r="F65" s="12">
        <v>15000</v>
      </c>
      <c r="G65" s="12" t="s">
        <v>16</v>
      </c>
      <c r="H65" s="12">
        <f t="shared" ref="H65:H69" si="9">E65*F65</f>
        <v>75000</v>
      </c>
      <c r="I65" s="12">
        <v>12</v>
      </c>
      <c r="J65" s="12">
        <f t="shared" ref="J65:J69" si="10">H65*VLOOKUP(D65,$D$14:$E$16,2,FALSE)</f>
        <v>9000</v>
      </c>
      <c r="K65" s="12">
        <f t="shared" ref="K65:K69" si="11">H65+J65</f>
        <v>84000</v>
      </c>
      <c r="L65" s="12"/>
    </row>
    <row r="66" spans="1:12" x14ac:dyDescent="0.3">
      <c r="A66" s="12">
        <v>303</v>
      </c>
      <c r="B66" s="12" t="s">
        <v>17</v>
      </c>
      <c r="C66" s="12" t="s">
        <v>18</v>
      </c>
      <c r="D66" s="12" t="s">
        <v>19</v>
      </c>
      <c r="E66" s="12">
        <v>3</v>
      </c>
      <c r="F66" s="12">
        <v>18000</v>
      </c>
      <c r="G66" s="12" t="s">
        <v>20</v>
      </c>
      <c r="H66" s="12">
        <f t="shared" si="9"/>
        <v>54000</v>
      </c>
      <c r="I66" s="12">
        <v>12</v>
      </c>
      <c r="J66" s="12">
        <f t="shared" si="10"/>
        <v>6480</v>
      </c>
      <c r="K66" s="12">
        <f t="shared" si="11"/>
        <v>60480</v>
      </c>
      <c r="L66" s="12"/>
    </row>
    <row r="67" spans="1:12" x14ac:dyDescent="0.3">
      <c r="A67" s="12">
        <v>304</v>
      </c>
      <c r="B67" s="12" t="s">
        <v>21</v>
      </c>
      <c r="C67" s="12" t="s">
        <v>22</v>
      </c>
      <c r="D67" s="12" t="s">
        <v>11</v>
      </c>
      <c r="E67" s="12">
        <v>1</v>
      </c>
      <c r="F67" s="12">
        <v>45000</v>
      </c>
      <c r="G67" s="12" t="s">
        <v>23</v>
      </c>
      <c r="H67" s="12">
        <f t="shared" si="9"/>
        <v>45000</v>
      </c>
      <c r="I67" s="12">
        <v>18</v>
      </c>
      <c r="J67" s="12">
        <f t="shared" si="10"/>
        <v>8100</v>
      </c>
      <c r="K67" s="12">
        <f t="shared" si="11"/>
        <v>53100</v>
      </c>
      <c r="L67" s="12"/>
    </row>
    <row r="68" spans="1:12" x14ac:dyDescent="0.3">
      <c r="A68" s="12">
        <v>305</v>
      </c>
      <c r="B68" s="12" t="s">
        <v>9</v>
      </c>
      <c r="C68" s="12" t="s">
        <v>10</v>
      </c>
      <c r="D68" s="12" t="s">
        <v>15</v>
      </c>
      <c r="E68" s="12">
        <v>4</v>
      </c>
      <c r="F68" s="12">
        <v>15000</v>
      </c>
      <c r="G68" s="12" t="s">
        <v>24</v>
      </c>
      <c r="H68" s="12">
        <f t="shared" si="9"/>
        <v>60000</v>
      </c>
      <c r="I68" s="12">
        <v>12</v>
      </c>
      <c r="J68" s="12">
        <f t="shared" si="10"/>
        <v>7200</v>
      </c>
      <c r="K68" s="12">
        <f t="shared" si="11"/>
        <v>67200</v>
      </c>
      <c r="L68" s="12"/>
    </row>
    <row r="69" spans="1:12" x14ac:dyDescent="0.3">
      <c r="A69" s="12">
        <v>306</v>
      </c>
      <c r="B69" s="12" t="s">
        <v>13</v>
      </c>
      <c r="C69" s="12" t="s">
        <v>14</v>
      </c>
      <c r="D69" s="12" t="s">
        <v>11</v>
      </c>
      <c r="E69" s="12">
        <v>2</v>
      </c>
      <c r="F69" s="12">
        <v>45000</v>
      </c>
      <c r="G69" s="12" t="s">
        <v>25</v>
      </c>
      <c r="H69" s="12">
        <f t="shared" si="9"/>
        <v>90000</v>
      </c>
      <c r="I69" s="12">
        <v>12</v>
      </c>
      <c r="J69" s="12">
        <f t="shared" si="10"/>
        <v>16200</v>
      </c>
      <c r="K69" s="12">
        <f t="shared" si="11"/>
        <v>106200</v>
      </c>
      <c r="L69" s="12"/>
    </row>
    <row r="71" spans="1:12" x14ac:dyDescent="0.3">
      <c r="A71" s="13" t="s">
        <v>40</v>
      </c>
      <c r="B71" s="13"/>
      <c r="C71" s="13"/>
      <c r="D71" s="13"/>
    </row>
    <row r="73" spans="1:12" x14ac:dyDescent="0.3">
      <c r="B73" t="str">
        <f>TEXT(G64,"mmmm")</f>
        <v>January</v>
      </c>
    </row>
    <row r="74" spans="1:12" x14ac:dyDescent="0.3">
      <c r="B74" s="13" t="str">
        <f t="shared" ref="B74:B77" si="12">TEXT(G65,"mmmm")</f>
        <v>January</v>
      </c>
    </row>
    <row r="75" spans="1:12" x14ac:dyDescent="0.3">
      <c r="B75" s="13" t="str">
        <f t="shared" si="12"/>
        <v>January</v>
      </c>
    </row>
    <row r="76" spans="1:12" x14ac:dyDescent="0.3">
      <c r="B76" s="13" t="str">
        <f t="shared" si="12"/>
        <v>January</v>
      </c>
    </row>
    <row r="77" spans="1:12" x14ac:dyDescent="0.3">
      <c r="B77" s="13" t="str">
        <f t="shared" si="12"/>
        <v>January</v>
      </c>
    </row>
    <row r="79" spans="1:12" x14ac:dyDescent="0.3">
      <c r="A79" s="13" t="s">
        <v>41</v>
      </c>
      <c r="B79" s="13"/>
      <c r="C79" s="13"/>
      <c r="D79" s="13"/>
      <c r="E79" s="13"/>
    </row>
    <row r="82" spans="1:14" x14ac:dyDescent="0.3">
      <c r="A82" s="13" t="s">
        <v>42</v>
      </c>
      <c r="B82" s="13"/>
      <c r="C82" s="13"/>
      <c r="D82" s="13"/>
      <c r="E82" s="13"/>
    </row>
    <row r="84" spans="1:14" x14ac:dyDescent="0.3">
      <c r="A84" s="13" t="s">
        <v>5</v>
      </c>
      <c r="B84" s="13" t="s">
        <v>27</v>
      </c>
      <c r="C84" s="13" t="s">
        <v>28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</row>
    <row r="85" spans="1:14" x14ac:dyDescent="0.3">
      <c r="A85" s="13" t="s">
        <v>11</v>
      </c>
      <c r="B85" s="13" t="s">
        <v>29</v>
      </c>
      <c r="C85" s="13">
        <v>18</v>
      </c>
      <c r="D85" s="13"/>
      <c r="E85" s="13" t="str">
        <f>INDEX(A85:A87,MATCH(A85,D64:D69,0))</f>
        <v>Laptop</v>
      </c>
      <c r="F85" s="13"/>
      <c r="G85" s="13"/>
      <c r="H85" s="13"/>
      <c r="I85" s="13"/>
      <c r="J85" s="13"/>
      <c r="K85" s="13"/>
      <c r="L85" s="13"/>
      <c r="M85" s="13"/>
    </row>
    <row r="86" spans="1:14" x14ac:dyDescent="0.3">
      <c r="A86" s="13" t="s">
        <v>15</v>
      </c>
      <c r="B86" s="13" t="s">
        <v>29</v>
      </c>
      <c r="C86" s="13">
        <v>12</v>
      </c>
      <c r="D86" s="13"/>
      <c r="E86" s="13" t="str">
        <f t="shared" ref="E86:E87" si="13">INDEX(A86:A88,MATCH(A86,D65:D70,0))</f>
        <v>Mobile</v>
      </c>
      <c r="F86" s="13"/>
      <c r="G86" s="13"/>
      <c r="H86" s="13"/>
      <c r="I86" s="13"/>
      <c r="J86" s="13"/>
      <c r="K86" s="13"/>
      <c r="L86" s="13"/>
      <c r="M86" s="13"/>
    </row>
    <row r="87" spans="1:14" x14ac:dyDescent="0.3">
      <c r="A87" s="13" t="s">
        <v>19</v>
      </c>
      <c r="B87" s="13" t="s">
        <v>29</v>
      </c>
      <c r="C87" s="13">
        <v>12</v>
      </c>
      <c r="D87" s="13"/>
      <c r="E87" s="13" t="str">
        <f t="shared" si="13"/>
        <v>Tablet</v>
      </c>
      <c r="F87" s="13"/>
      <c r="G87" s="13"/>
      <c r="H87" s="13"/>
      <c r="I87" s="13"/>
      <c r="J87" s="13"/>
      <c r="K87" s="13"/>
      <c r="L87" s="13"/>
      <c r="M87" s="13"/>
    </row>
    <row r="88" spans="1:14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</row>
    <row r="89" spans="1:14" x14ac:dyDescent="0.3">
      <c r="A89" s="13" t="s">
        <v>43</v>
      </c>
      <c r="B89" s="13"/>
      <c r="C89" s="13"/>
      <c r="D89" s="13"/>
      <c r="E89" s="13"/>
      <c r="F89" s="13"/>
      <c r="G89" s="13"/>
      <c r="H89" s="13"/>
      <c r="I89" s="13"/>
      <c r="J89" s="13" t="s">
        <v>55</v>
      </c>
      <c r="K89" s="13"/>
      <c r="L89" s="13"/>
      <c r="M89" s="13"/>
      <c r="N89" s="13"/>
    </row>
    <row r="90" spans="1:14" x14ac:dyDescent="0.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</row>
    <row r="91" spans="1:14" x14ac:dyDescent="0.3">
      <c r="A91" s="13" t="s">
        <v>44</v>
      </c>
      <c r="B91" s="13" t="s">
        <v>45</v>
      </c>
      <c r="C91" s="13" t="s">
        <v>46</v>
      </c>
      <c r="D91" s="13" t="s">
        <v>47</v>
      </c>
      <c r="E91" s="13" t="s">
        <v>48</v>
      </c>
      <c r="F91" s="13" t="s">
        <v>49</v>
      </c>
      <c r="G91" s="13"/>
      <c r="I91" t="s">
        <v>58</v>
      </c>
      <c r="J91" t="str">
        <f>INDEX(B92:B96,MATCH(MAX(H92:H96),H92:H96,0))</f>
        <v>Pooja</v>
      </c>
    </row>
    <row r="92" spans="1:14" x14ac:dyDescent="0.3">
      <c r="A92" s="13">
        <v>1</v>
      </c>
      <c r="B92" s="13" t="s">
        <v>50</v>
      </c>
      <c r="C92" s="13">
        <v>78</v>
      </c>
      <c r="D92" s="13">
        <v>82</v>
      </c>
      <c r="E92" s="13">
        <v>85</v>
      </c>
      <c r="F92" s="13">
        <v>92</v>
      </c>
      <c r="G92" s="13"/>
      <c r="H92">
        <f>AVERAGE(C92:E92)</f>
        <v>81.666666666666671</v>
      </c>
      <c r="I92" t="str">
        <f>IF(F92:F96&gt;=85,"eligible","not eligible")</f>
        <v>eligible</v>
      </c>
    </row>
    <row r="93" spans="1:14" x14ac:dyDescent="0.3">
      <c r="A93" s="13">
        <v>2</v>
      </c>
      <c r="B93" s="13" t="s">
        <v>51</v>
      </c>
      <c r="C93" s="13">
        <v>88</v>
      </c>
      <c r="D93" s="13">
        <v>91</v>
      </c>
      <c r="E93" s="13">
        <v>90</v>
      </c>
      <c r="F93" s="13">
        <v>96</v>
      </c>
      <c r="G93" s="13"/>
      <c r="H93" s="13">
        <f t="shared" ref="H93:H96" si="14">AVERAGE(C93:E93)</f>
        <v>89.666666666666671</v>
      </c>
      <c r="I93" s="13" t="str">
        <f t="shared" ref="I93:I97" si="15">IF(F93:F97&gt;=85,"eligible","not eligible")</f>
        <v>eligible</v>
      </c>
      <c r="J93" s="13" t="s">
        <v>56</v>
      </c>
      <c r="K93" s="13"/>
      <c r="L93" s="13"/>
      <c r="M93" s="13"/>
      <c r="N93" s="13"/>
    </row>
    <row r="94" spans="1:14" x14ac:dyDescent="0.3">
      <c r="A94" s="13">
        <v>3</v>
      </c>
      <c r="B94" s="13" t="s">
        <v>52</v>
      </c>
      <c r="C94" s="13">
        <v>65</v>
      </c>
      <c r="D94" s="13">
        <v>70</v>
      </c>
      <c r="E94" s="13">
        <v>72</v>
      </c>
      <c r="F94" s="13">
        <v>85</v>
      </c>
      <c r="G94" s="13"/>
      <c r="H94" s="13">
        <f t="shared" si="14"/>
        <v>69</v>
      </c>
      <c r="I94" s="13" t="str">
        <f t="shared" si="15"/>
        <v>eligible</v>
      </c>
    </row>
    <row r="95" spans="1:14" x14ac:dyDescent="0.3">
      <c r="A95" s="13">
        <v>4</v>
      </c>
      <c r="B95" s="13" t="s">
        <v>53</v>
      </c>
      <c r="C95" s="13">
        <v>92</v>
      </c>
      <c r="D95" s="13">
        <v>89</v>
      </c>
      <c r="E95" s="13">
        <v>94</v>
      </c>
      <c r="F95" s="13">
        <v>98</v>
      </c>
      <c r="G95" s="13"/>
      <c r="H95" s="13">
        <f t="shared" si="14"/>
        <v>91.666666666666671</v>
      </c>
      <c r="I95" s="13" t="str">
        <f t="shared" si="15"/>
        <v>eligible</v>
      </c>
      <c r="J95">
        <f>COUNTIF(F92:F96,"&gt;90")</f>
        <v>3</v>
      </c>
    </row>
    <row r="96" spans="1:14" x14ac:dyDescent="0.3">
      <c r="A96" s="13">
        <v>5</v>
      </c>
      <c r="B96" s="13" t="s">
        <v>54</v>
      </c>
      <c r="C96" s="13">
        <v>55</v>
      </c>
      <c r="D96" s="13">
        <v>60</v>
      </c>
      <c r="E96" s="13">
        <v>58</v>
      </c>
      <c r="F96" s="13">
        <v>80</v>
      </c>
      <c r="G96" s="13"/>
      <c r="H96" s="13">
        <f t="shared" si="14"/>
        <v>57.666666666666664</v>
      </c>
      <c r="I96" s="13" t="str">
        <f t="shared" si="15"/>
        <v>not eligible</v>
      </c>
    </row>
    <row r="97" spans="1:17" x14ac:dyDescent="0.3">
      <c r="I97" s="13"/>
      <c r="J97" s="13" t="s">
        <v>57</v>
      </c>
      <c r="K97" s="13"/>
      <c r="L97" s="13"/>
      <c r="M97" s="13"/>
      <c r="N97" s="13"/>
      <c r="O97" s="13"/>
    </row>
    <row r="99" spans="1:17" x14ac:dyDescent="0.3">
      <c r="A99" s="13" t="s">
        <v>59</v>
      </c>
      <c r="B99" s="13"/>
      <c r="C99" s="13"/>
      <c r="D99" s="13"/>
      <c r="E99" s="13"/>
      <c r="F99" s="13"/>
    </row>
    <row r="101" spans="1:17" x14ac:dyDescent="0.3">
      <c r="A101" s="14" t="s">
        <v>60</v>
      </c>
      <c r="B101" t="s">
        <v>62</v>
      </c>
      <c r="D101" s="13"/>
      <c r="E101" s="13"/>
      <c r="F101" s="13"/>
      <c r="G101" s="13"/>
      <c r="H101" s="13" t="s">
        <v>2</v>
      </c>
      <c r="I101" s="13" t="s">
        <v>3</v>
      </c>
      <c r="J101" s="13" t="s">
        <v>4</v>
      </c>
      <c r="K101" s="13" t="s">
        <v>5</v>
      </c>
      <c r="L101" s="13" t="s">
        <v>6</v>
      </c>
      <c r="M101" s="13" t="s">
        <v>7</v>
      </c>
      <c r="N101" s="13" t="s">
        <v>8</v>
      </c>
      <c r="O101" s="13" t="s">
        <v>0</v>
      </c>
      <c r="P101" s="13" t="s">
        <v>28</v>
      </c>
    </row>
    <row r="102" spans="1:17" x14ac:dyDescent="0.3">
      <c r="A102" s="15" t="s">
        <v>11</v>
      </c>
      <c r="B102" s="16">
        <v>225000</v>
      </c>
      <c r="D102" s="13"/>
      <c r="E102" s="13"/>
      <c r="F102" s="13"/>
      <c r="G102" s="13"/>
      <c r="H102" s="13">
        <v>301</v>
      </c>
      <c r="I102" s="13" t="s">
        <v>9</v>
      </c>
      <c r="J102" s="13" t="s">
        <v>10</v>
      </c>
      <c r="K102" s="13" t="s">
        <v>11</v>
      </c>
      <c r="L102" s="13">
        <v>2</v>
      </c>
      <c r="M102" s="13">
        <v>45000</v>
      </c>
      <c r="N102" s="13" t="s">
        <v>12</v>
      </c>
      <c r="O102" s="13">
        <f>L102*M102</f>
        <v>90000</v>
      </c>
      <c r="P102" s="13">
        <v>18</v>
      </c>
      <c r="Q102" s="13"/>
    </row>
    <row r="103" spans="1:17" x14ac:dyDescent="0.3">
      <c r="A103" s="15" t="s">
        <v>15</v>
      </c>
      <c r="B103" s="16">
        <v>135000</v>
      </c>
      <c r="D103" s="13"/>
      <c r="E103" s="13"/>
      <c r="F103" s="13"/>
      <c r="G103" s="13"/>
      <c r="H103" s="13">
        <v>302</v>
      </c>
      <c r="I103" s="13" t="s">
        <v>13</v>
      </c>
      <c r="J103" s="13" t="s">
        <v>14</v>
      </c>
      <c r="K103" s="13" t="s">
        <v>15</v>
      </c>
      <c r="L103" s="13">
        <v>5</v>
      </c>
      <c r="M103" s="13">
        <v>15000</v>
      </c>
      <c r="N103" s="13" t="s">
        <v>16</v>
      </c>
      <c r="O103" s="13">
        <f t="shared" ref="O103:O107" si="16">L103*M103</f>
        <v>75000</v>
      </c>
      <c r="P103" s="13">
        <v>12</v>
      </c>
      <c r="Q103" s="13"/>
    </row>
    <row r="104" spans="1:17" x14ac:dyDescent="0.3">
      <c r="A104" s="15" t="s">
        <v>19</v>
      </c>
      <c r="B104" s="16">
        <v>54000</v>
      </c>
      <c r="D104" s="13"/>
      <c r="E104" s="13"/>
      <c r="F104" s="13"/>
      <c r="G104" s="13"/>
      <c r="H104" s="13">
        <v>303</v>
      </c>
      <c r="I104" s="13" t="s">
        <v>17</v>
      </c>
      <c r="J104" s="13" t="s">
        <v>18</v>
      </c>
      <c r="K104" s="13" t="s">
        <v>19</v>
      </c>
      <c r="L104" s="13">
        <v>3</v>
      </c>
      <c r="M104" s="13">
        <v>18000</v>
      </c>
      <c r="N104" s="13" t="s">
        <v>20</v>
      </c>
      <c r="O104" s="13">
        <f t="shared" si="16"/>
        <v>54000</v>
      </c>
      <c r="P104" s="13">
        <v>12</v>
      </c>
      <c r="Q104" s="13"/>
    </row>
    <row r="105" spans="1:17" x14ac:dyDescent="0.3">
      <c r="A105" s="15" t="s">
        <v>61</v>
      </c>
      <c r="B105" s="16">
        <v>414000</v>
      </c>
      <c r="D105" s="13"/>
      <c r="E105" s="13"/>
      <c r="F105" s="13"/>
      <c r="G105" s="13"/>
      <c r="H105" s="13">
        <v>304</v>
      </c>
      <c r="I105" s="13" t="s">
        <v>21</v>
      </c>
      <c r="J105" s="13" t="s">
        <v>22</v>
      </c>
      <c r="K105" s="13" t="s">
        <v>11</v>
      </c>
      <c r="L105" s="13">
        <v>1</v>
      </c>
      <c r="M105" s="13">
        <v>45000</v>
      </c>
      <c r="N105" s="13" t="s">
        <v>23</v>
      </c>
      <c r="O105" s="13">
        <f t="shared" si="16"/>
        <v>45000</v>
      </c>
      <c r="P105" s="13">
        <v>18</v>
      </c>
      <c r="Q105" s="13"/>
    </row>
    <row r="106" spans="1:17" x14ac:dyDescent="0.3">
      <c r="D106" s="13"/>
      <c r="E106" s="13"/>
      <c r="F106" s="13"/>
      <c r="G106" s="13"/>
      <c r="H106" s="13">
        <v>305</v>
      </c>
      <c r="I106" s="13" t="s">
        <v>9</v>
      </c>
      <c r="J106" s="13" t="s">
        <v>10</v>
      </c>
      <c r="K106" s="13" t="s">
        <v>15</v>
      </c>
      <c r="L106" s="13">
        <v>4</v>
      </c>
      <c r="M106" s="13">
        <v>15000</v>
      </c>
      <c r="N106" s="13" t="s">
        <v>24</v>
      </c>
      <c r="O106" s="13">
        <f t="shared" si="16"/>
        <v>60000</v>
      </c>
      <c r="P106" s="13">
        <v>12</v>
      </c>
      <c r="Q106" s="13"/>
    </row>
    <row r="107" spans="1:17" x14ac:dyDescent="0.3">
      <c r="H107" s="13">
        <v>306</v>
      </c>
      <c r="I107" s="13" t="s">
        <v>13</v>
      </c>
      <c r="J107" s="13" t="s">
        <v>14</v>
      </c>
      <c r="K107" s="13" t="s">
        <v>11</v>
      </c>
      <c r="L107" s="13">
        <v>2</v>
      </c>
      <c r="M107" s="13">
        <v>45000</v>
      </c>
      <c r="N107" s="13" t="s">
        <v>25</v>
      </c>
      <c r="O107" s="13">
        <f t="shared" si="16"/>
        <v>90000</v>
      </c>
      <c r="P107" s="13">
        <v>12</v>
      </c>
      <c r="Q107" s="13"/>
    </row>
    <row r="109" spans="1:17" x14ac:dyDescent="0.3">
      <c r="A109" s="13" t="s">
        <v>63</v>
      </c>
      <c r="B109" s="13"/>
      <c r="C109" s="13"/>
      <c r="D109" s="13"/>
      <c r="E109" s="13"/>
      <c r="F109" s="13"/>
      <c r="G109" s="13" t="s">
        <v>64</v>
      </c>
      <c r="H109" s="13"/>
      <c r="I109" s="13"/>
      <c r="J109" s="13"/>
      <c r="K109" s="13" t="s">
        <v>65</v>
      </c>
      <c r="L109" s="13"/>
      <c r="M109" s="13"/>
      <c r="N109" s="13"/>
      <c r="O109" s="13"/>
    </row>
    <row r="111" spans="1:17" x14ac:dyDescent="0.3">
      <c r="A111" s="14" t="s">
        <v>60</v>
      </c>
      <c r="B111" t="s">
        <v>62</v>
      </c>
      <c r="G111" s="14" t="s">
        <v>60</v>
      </c>
      <c r="H111" t="s">
        <v>62</v>
      </c>
    </row>
    <row r="112" spans="1:17" x14ac:dyDescent="0.3">
      <c r="A112" s="15" t="s">
        <v>17</v>
      </c>
      <c r="B112" s="16">
        <v>54000</v>
      </c>
      <c r="G112" s="15" t="s">
        <v>11</v>
      </c>
      <c r="H112" s="16">
        <v>225000</v>
      </c>
    </row>
    <row r="113" spans="1:16" x14ac:dyDescent="0.3">
      <c r="A113" s="15" t="s">
        <v>9</v>
      </c>
      <c r="B113" s="16">
        <v>150000</v>
      </c>
      <c r="G113" s="15" t="s">
        <v>15</v>
      </c>
      <c r="H113" s="16">
        <v>135000</v>
      </c>
    </row>
    <row r="114" spans="1:16" x14ac:dyDescent="0.3">
      <c r="A114" s="15" t="s">
        <v>13</v>
      </c>
      <c r="B114" s="16">
        <v>165000</v>
      </c>
      <c r="G114" s="15" t="s">
        <v>19</v>
      </c>
      <c r="H114" s="16">
        <v>54000</v>
      </c>
    </row>
    <row r="115" spans="1:16" x14ac:dyDescent="0.3">
      <c r="A115" s="15" t="s">
        <v>21</v>
      </c>
      <c r="B115" s="16">
        <v>45000</v>
      </c>
      <c r="G115" s="15" t="s">
        <v>61</v>
      </c>
      <c r="H115" s="16">
        <v>414000</v>
      </c>
    </row>
    <row r="116" spans="1:16" x14ac:dyDescent="0.3">
      <c r="A116" s="15" t="s">
        <v>61</v>
      </c>
      <c r="B116" s="16">
        <v>414000</v>
      </c>
    </row>
    <row r="118" spans="1:16" x14ac:dyDescent="0.3">
      <c r="A118" s="13" t="s">
        <v>66</v>
      </c>
      <c r="B118" s="13"/>
      <c r="C118" s="13"/>
      <c r="D118" s="13" t="s">
        <v>67</v>
      </c>
      <c r="E118" s="13"/>
      <c r="F118" s="13"/>
      <c r="G118" s="13"/>
    </row>
    <row r="120" spans="1:16" x14ac:dyDescent="0.3">
      <c r="A120">
        <f>MEDIAN(D92:D96)</f>
        <v>82</v>
      </c>
    </row>
    <row r="122" spans="1:16" x14ac:dyDescent="0.3">
      <c r="A122" s="13" t="s">
        <v>68</v>
      </c>
      <c r="B122" s="13"/>
      <c r="C122" s="13"/>
      <c r="D122" s="13"/>
      <c r="E122" s="13"/>
      <c r="F122" s="13" t="s">
        <v>69</v>
      </c>
      <c r="G122" s="13"/>
      <c r="H122" s="13"/>
      <c r="I122" s="13"/>
      <c r="J122" s="13"/>
      <c r="K122" s="13" t="s">
        <v>70</v>
      </c>
      <c r="L122" s="13"/>
      <c r="M122" s="13"/>
      <c r="N122" s="13"/>
      <c r="O122" s="13"/>
      <c r="P122" s="13"/>
    </row>
    <row r="124" spans="1:16" x14ac:dyDescent="0.3">
      <c r="A124" t="str">
        <f>CONCATENATE(A92,B92)</f>
        <v>1Rahul</v>
      </c>
      <c r="F124" t="str">
        <f>LEFT(B92,(2))</f>
        <v>Ra</v>
      </c>
    </row>
    <row r="125" spans="1:16" x14ac:dyDescent="0.3">
      <c r="A125" s="13" t="str">
        <f t="shared" ref="A125:A128" si="17">CONCATENATE(A93,B93)</f>
        <v>2Sneha</v>
      </c>
      <c r="F125" s="13" t="str">
        <f t="shared" ref="F125:F128" si="18">LEFT(B93,(2))</f>
        <v>Sn</v>
      </c>
      <c r="K125" s="13"/>
    </row>
    <row r="126" spans="1:16" x14ac:dyDescent="0.3">
      <c r="A126" s="13" t="str">
        <f t="shared" si="17"/>
        <v>3Arjun</v>
      </c>
      <c r="F126" s="13" t="str">
        <f t="shared" si="18"/>
        <v>Ar</v>
      </c>
    </row>
    <row r="127" spans="1:16" x14ac:dyDescent="0.3">
      <c r="A127" s="13" t="str">
        <f t="shared" si="17"/>
        <v>4Pooja</v>
      </c>
      <c r="F127" s="13" t="str">
        <f t="shared" si="18"/>
        <v>Po</v>
      </c>
    </row>
    <row r="128" spans="1:16" x14ac:dyDescent="0.3">
      <c r="A128" s="13" t="str">
        <f t="shared" si="17"/>
        <v>5Vikas</v>
      </c>
      <c r="F128" s="13" t="str">
        <f t="shared" si="18"/>
        <v>Vi</v>
      </c>
    </row>
    <row r="130" spans="1:9" x14ac:dyDescent="0.3">
      <c r="A130" s="13" t="s">
        <v>71</v>
      </c>
      <c r="B130" s="13"/>
      <c r="C130" s="13"/>
      <c r="D130" s="13"/>
      <c r="E130" s="13"/>
      <c r="F130" s="13"/>
    </row>
    <row r="132" spans="1:9" x14ac:dyDescent="0.3">
      <c r="A132" s="13" t="s">
        <v>2</v>
      </c>
      <c r="B132" s="13" t="s">
        <v>3</v>
      </c>
      <c r="C132" s="13" t="s">
        <v>4</v>
      </c>
      <c r="D132" s="13" t="s">
        <v>5</v>
      </c>
      <c r="E132" s="13" t="s">
        <v>6</v>
      </c>
      <c r="F132" s="13" t="s">
        <v>7</v>
      </c>
      <c r="G132" s="13" t="s">
        <v>8</v>
      </c>
      <c r="H132" s="13" t="s">
        <v>0</v>
      </c>
      <c r="I132" s="13" t="s">
        <v>28</v>
      </c>
    </row>
    <row r="133" spans="1:9" hidden="1" x14ac:dyDescent="0.3">
      <c r="A133" s="13">
        <v>301</v>
      </c>
      <c r="B133" s="13" t="s">
        <v>9</v>
      </c>
      <c r="C133" s="13" t="s">
        <v>10</v>
      </c>
      <c r="D133" s="13" t="s">
        <v>11</v>
      </c>
      <c r="E133" s="13">
        <v>2</v>
      </c>
      <c r="F133" s="13">
        <v>45000</v>
      </c>
      <c r="G133" s="13" t="s">
        <v>12</v>
      </c>
      <c r="H133" s="13">
        <f>E133*F133</f>
        <v>90000</v>
      </c>
      <c r="I133" s="13">
        <v>18</v>
      </c>
    </row>
    <row r="134" spans="1:9" hidden="1" x14ac:dyDescent="0.3">
      <c r="A134" s="13">
        <v>302</v>
      </c>
      <c r="B134" s="13" t="s">
        <v>13</v>
      </c>
      <c r="C134" s="13" t="s">
        <v>14</v>
      </c>
      <c r="D134" s="13" t="s">
        <v>15</v>
      </c>
      <c r="E134" s="13">
        <v>5</v>
      </c>
      <c r="F134" s="13">
        <v>15000</v>
      </c>
      <c r="G134" s="13" t="s">
        <v>16</v>
      </c>
      <c r="H134" s="13">
        <f>E134*F134</f>
        <v>75000</v>
      </c>
      <c r="I134" s="13">
        <v>12</v>
      </c>
    </row>
    <row r="135" spans="1:9" hidden="1" x14ac:dyDescent="0.3">
      <c r="A135" s="13">
        <v>303</v>
      </c>
      <c r="B135" s="13" t="s">
        <v>17</v>
      </c>
      <c r="C135" s="13" t="s">
        <v>18</v>
      </c>
      <c r="D135" s="13" t="s">
        <v>19</v>
      </c>
      <c r="E135" s="13">
        <v>3</v>
      </c>
      <c r="F135" s="13">
        <v>18000</v>
      </c>
      <c r="G135" s="13" t="s">
        <v>20</v>
      </c>
      <c r="H135" s="13">
        <f>E135*F135</f>
        <v>54000</v>
      </c>
      <c r="I135" s="13">
        <v>12</v>
      </c>
    </row>
    <row r="136" spans="1:9" x14ac:dyDescent="0.3">
      <c r="A136" s="13">
        <v>304</v>
      </c>
      <c r="B136" s="13" t="s">
        <v>21</v>
      </c>
      <c r="C136" s="13" t="s">
        <v>22</v>
      </c>
      <c r="D136" s="13" t="s">
        <v>11</v>
      </c>
      <c r="E136" s="13">
        <v>1</v>
      </c>
      <c r="F136" s="13">
        <v>45000</v>
      </c>
      <c r="G136" s="13" t="s">
        <v>23</v>
      </c>
      <c r="H136" s="13">
        <f>E136*F136</f>
        <v>45000</v>
      </c>
      <c r="I136" s="13">
        <v>18</v>
      </c>
    </row>
    <row r="137" spans="1:9" hidden="1" x14ac:dyDescent="0.3">
      <c r="A137" s="13">
        <v>305</v>
      </c>
      <c r="B137" s="13" t="s">
        <v>9</v>
      </c>
      <c r="C137" s="13" t="s">
        <v>10</v>
      </c>
      <c r="D137" s="13" t="s">
        <v>15</v>
      </c>
      <c r="E137" s="13">
        <v>4</v>
      </c>
      <c r="F137" s="13">
        <v>15000</v>
      </c>
      <c r="G137" s="13" t="s">
        <v>24</v>
      </c>
      <c r="H137" s="13">
        <f>E137*F137</f>
        <v>60000</v>
      </c>
      <c r="I137" s="13">
        <v>12</v>
      </c>
    </row>
    <row r="138" spans="1:9" hidden="1" x14ac:dyDescent="0.3">
      <c r="A138" s="13">
        <v>306</v>
      </c>
      <c r="B138" s="13" t="s">
        <v>13</v>
      </c>
      <c r="C138" s="13" t="s">
        <v>14</v>
      </c>
      <c r="D138" s="13" t="s">
        <v>11</v>
      </c>
      <c r="E138" s="13">
        <v>2</v>
      </c>
      <c r="F138" s="13">
        <v>45000</v>
      </c>
      <c r="G138" s="13" t="s">
        <v>25</v>
      </c>
      <c r="H138" s="13">
        <f>E138*F138</f>
        <v>90000</v>
      </c>
      <c r="I138" s="13">
        <v>12</v>
      </c>
    </row>
  </sheetData>
  <autoFilter ref="D132:E138">
    <filterColumn colId="0">
      <filters>
        <filter val="Laptop"/>
      </filters>
    </filterColumn>
    <filterColumn colId="1">
      <filters>
        <filter val="1"/>
      </filters>
    </filterColumn>
  </autoFilter>
  <sortState ref="A81">
    <sortCondition ref="A81"/>
  </sortState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opLeftCell="A12" workbookViewId="0">
      <selection activeCell="A25" sqref="A25:F25"/>
    </sheetView>
  </sheetViews>
  <sheetFormatPr defaultRowHeight="14.4" x14ac:dyDescent="0.3"/>
  <sheetData>
    <row r="1" spans="1:10" x14ac:dyDescent="0.3">
      <c r="A1" s="13" t="s">
        <v>1</v>
      </c>
      <c r="B1" s="13"/>
      <c r="C1" s="13"/>
      <c r="D1" s="13"/>
      <c r="E1" s="13"/>
      <c r="F1" s="13"/>
      <c r="G1" s="13"/>
      <c r="H1" s="13"/>
      <c r="I1" s="13"/>
      <c r="J1" s="13">
        <v>2</v>
      </c>
    </row>
    <row r="2" spans="1:10" x14ac:dyDescent="0.3">
      <c r="A2" s="13" t="s">
        <v>26</v>
      </c>
      <c r="B2" s="13"/>
      <c r="C2" s="13"/>
      <c r="D2" s="13"/>
      <c r="E2" s="13"/>
      <c r="F2" s="13"/>
      <c r="G2" s="13"/>
      <c r="H2" s="13"/>
      <c r="I2" s="13"/>
      <c r="J2" s="13">
        <v>2</v>
      </c>
    </row>
    <row r="3" spans="1:10" x14ac:dyDescent="0.3">
      <c r="A3" s="13" t="s">
        <v>30</v>
      </c>
      <c r="B3" s="13"/>
      <c r="C3" s="13"/>
      <c r="D3" s="13"/>
      <c r="E3" s="13"/>
      <c r="F3" s="13"/>
      <c r="G3" s="13"/>
      <c r="H3" s="13"/>
      <c r="I3" s="13"/>
      <c r="J3" s="13">
        <v>2</v>
      </c>
    </row>
    <row r="4" spans="1:10" x14ac:dyDescent="0.3">
      <c r="A4" s="13" t="s">
        <v>32</v>
      </c>
      <c r="B4" s="13"/>
      <c r="C4" s="13"/>
      <c r="D4" s="13"/>
      <c r="E4" s="13"/>
      <c r="F4" s="13"/>
      <c r="G4" s="13"/>
      <c r="H4" s="13"/>
      <c r="I4" s="13"/>
      <c r="J4" s="13">
        <v>2</v>
      </c>
    </row>
    <row r="5" spans="1:10" x14ac:dyDescent="0.3">
      <c r="A5" s="13" t="s">
        <v>33</v>
      </c>
      <c r="B5" s="13"/>
      <c r="C5" s="13"/>
      <c r="D5" s="13"/>
      <c r="E5" s="13"/>
      <c r="F5" s="13"/>
      <c r="G5" s="13"/>
      <c r="H5" s="13"/>
      <c r="I5" s="13"/>
      <c r="J5" s="13">
        <v>2</v>
      </c>
    </row>
    <row r="6" spans="1:10" x14ac:dyDescent="0.3">
      <c r="A6" s="13" t="s">
        <v>34</v>
      </c>
      <c r="B6" s="13"/>
      <c r="C6" s="13"/>
      <c r="D6" s="13"/>
      <c r="E6" s="13"/>
      <c r="F6" s="13"/>
      <c r="G6" s="13"/>
      <c r="H6" s="13"/>
      <c r="I6" s="13"/>
      <c r="J6" s="13">
        <v>2</v>
      </c>
    </row>
    <row r="7" spans="1:10" x14ac:dyDescent="0.3">
      <c r="A7" s="13" t="s">
        <v>35</v>
      </c>
      <c r="B7" s="13"/>
      <c r="C7" s="13"/>
      <c r="D7" s="13"/>
      <c r="E7" s="13"/>
      <c r="F7" s="13"/>
      <c r="G7" s="13"/>
      <c r="H7" s="13"/>
      <c r="I7" s="13"/>
      <c r="J7" s="13">
        <v>2</v>
      </c>
    </row>
    <row r="8" spans="1:10" x14ac:dyDescent="0.3">
      <c r="A8" s="13" t="s">
        <v>37</v>
      </c>
      <c r="B8" s="13"/>
      <c r="C8" s="13"/>
      <c r="D8" s="13"/>
      <c r="E8" s="13"/>
      <c r="F8" s="13"/>
      <c r="G8" s="13"/>
      <c r="H8" s="13"/>
      <c r="I8" s="13"/>
      <c r="J8" s="13">
        <v>2</v>
      </c>
    </row>
    <row r="9" spans="1:10" x14ac:dyDescent="0.3">
      <c r="A9" s="13" t="s">
        <v>40</v>
      </c>
      <c r="B9" s="13"/>
      <c r="C9" s="13"/>
      <c r="D9" s="13"/>
      <c r="E9" s="13"/>
      <c r="F9" s="13"/>
      <c r="G9" s="13"/>
      <c r="H9" s="13"/>
      <c r="I9" s="13"/>
      <c r="J9" s="13">
        <v>2</v>
      </c>
    </row>
    <row r="10" spans="1:10" x14ac:dyDescent="0.3">
      <c r="A10" s="13" t="s">
        <v>41</v>
      </c>
      <c r="B10" s="13"/>
      <c r="C10" s="13"/>
      <c r="D10" s="13"/>
      <c r="E10" s="13"/>
      <c r="F10" s="13"/>
      <c r="G10" s="13"/>
      <c r="H10" s="13"/>
      <c r="I10" s="13"/>
      <c r="J10" s="13">
        <v>2</v>
      </c>
    </row>
    <row r="11" spans="1:10" x14ac:dyDescent="0.3">
      <c r="A11" s="13" t="s">
        <v>42</v>
      </c>
      <c r="B11" s="13"/>
      <c r="C11" s="13"/>
      <c r="D11" s="13"/>
      <c r="E11" s="13"/>
      <c r="F11" s="13"/>
      <c r="G11" s="13"/>
      <c r="H11" s="13"/>
      <c r="I11" s="13"/>
      <c r="J11" s="13">
        <v>2</v>
      </c>
    </row>
    <row r="12" spans="1:10" x14ac:dyDescent="0.3">
      <c r="A12" s="13" t="s">
        <v>43</v>
      </c>
      <c r="B12" s="13"/>
      <c r="C12" s="13"/>
      <c r="D12" s="13"/>
      <c r="E12" s="13"/>
      <c r="F12" s="13"/>
      <c r="G12" s="13"/>
      <c r="H12" s="13"/>
      <c r="I12" s="13"/>
      <c r="J12" s="13">
        <v>2</v>
      </c>
    </row>
    <row r="13" spans="1:10" x14ac:dyDescent="0.3">
      <c r="A13" s="13" t="s">
        <v>55</v>
      </c>
      <c r="B13" s="13"/>
      <c r="C13" s="13"/>
      <c r="D13" s="13"/>
      <c r="E13" s="13"/>
      <c r="F13" s="13"/>
      <c r="G13" s="13"/>
      <c r="H13" s="13"/>
      <c r="I13" s="13"/>
      <c r="J13" s="13">
        <v>2</v>
      </c>
    </row>
    <row r="14" spans="1:10" x14ac:dyDescent="0.3">
      <c r="A14" s="13" t="s">
        <v>56</v>
      </c>
      <c r="B14" s="13"/>
      <c r="C14" s="13"/>
      <c r="D14" s="13"/>
      <c r="E14" s="13"/>
      <c r="F14" s="13"/>
      <c r="G14" s="13"/>
      <c r="H14" s="13"/>
      <c r="I14" s="13"/>
      <c r="J14" s="13">
        <v>2</v>
      </c>
    </row>
    <row r="15" spans="1:10" x14ac:dyDescent="0.3">
      <c r="A15" s="13" t="s">
        <v>57</v>
      </c>
      <c r="B15" s="13"/>
      <c r="C15" s="13"/>
      <c r="D15" s="13"/>
      <c r="E15" s="13"/>
      <c r="F15" s="13"/>
      <c r="G15" s="13"/>
      <c r="H15" s="13"/>
      <c r="I15" s="13"/>
      <c r="J15" s="13">
        <v>2</v>
      </c>
    </row>
    <row r="16" spans="1:10" x14ac:dyDescent="0.3">
      <c r="A16" s="13" t="s">
        <v>59</v>
      </c>
      <c r="B16" s="13"/>
      <c r="C16" s="13"/>
      <c r="D16" s="13"/>
      <c r="E16" s="13"/>
      <c r="F16" s="13"/>
      <c r="G16" s="13"/>
      <c r="H16" s="13"/>
      <c r="I16" s="13"/>
      <c r="J16" s="13">
        <v>2</v>
      </c>
    </row>
    <row r="17" spans="1:10" x14ac:dyDescent="0.3">
      <c r="A17" s="13" t="s">
        <v>63</v>
      </c>
      <c r="B17" s="13"/>
      <c r="C17" s="13"/>
      <c r="D17" s="13"/>
      <c r="E17" s="13"/>
      <c r="F17" s="13"/>
      <c r="G17" s="13"/>
      <c r="H17" s="13"/>
      <c r="I17" s="13"/>
      <c r="J17" s="13">
        <v>2</v>
      </c>
    </row>
    <row r="18" spans="1:10" x14ac:dyDescent="0.3">
      <c r="A18" s="13" t="s">
        <v>64</v>
      </c>
      <c r="B18" s="13"/>
      <c r="C18" s="13"/>
      <c r="D18" s="13"/>
      <c r="E18" s="13"/>
      <c r="F18" s="13"/>
      <c r="G18" s="13"/>
      <c r="H18" s="13"/>
      <c r="I18" s="13"/>
      <c r="J18" s="13">
        <v>2</v>
      </c>
    </row>
    <row r="19" spans="1:10" x14ac:dyDescent="0.3">
      <c r="A19" s="13" t="s">
        <v>65</v>
      </c>
      <c r="B19" s="13"/>
      <c r="C19" s="13"/>
      <c r="D19" s="13"/>
      <c r="E19" s="13"/>
      <c r="F19" s="13"/>
      <c r="G19" s="13"/>
      <c r="H19" s="13"/>
      <c r="I19" s="13"/>
      <c r="J19" s="13">
        <v>2</v>
      </c>
    </row>
    <row r="20" spans="1:10" x14ac:dyDescent="0.3">
      <c r="A20" s="13" t="s">
        <v>66</v>
      </c>
      <c r="B20" s="13"/>
      <c r="C20" s="13"/>
      <c r="D20" s="13"/>
      <c r="E20" s="13"/>
      <c r="F20" s="13"/>
      <c r="G20" s="13"/>
      <c r="H20" s="13"/>
      <c r="I20" s="13"/>
      <c r="J20" s="13">
        <v>2</v>
      </c>
    </row>
    <row r="21" spans="1:10" x14ac:dyDescent="0.3">
      <c r="A21" s="13" t="s">
        <v>67</v>
      </c>
      <c r="B21" s="13"/>
      <c r="C21" s="13"/>
      <c r="D21" s="13"/>
      <c r="E21" s="13"/>
      <c r="F21" s="13"/>
      <c r="G21" s="13"/>
      <c r="H21" s="13"/>
      <c r="I21" s="13"/>
      <c r="J21" s="13">
        <v>2</v>
      </c>
    </row>
    <row r="22" spans="1:10" x14ac:dyDescent="0.3">
      <c r="A22" s="13" t="s">
        <v>68</v>
      </c>
      <c r="B22" s="13"/>
      <c r="C22" s="13"/>
      <c r="D22" s="13"/>
      <c r="E22" s="13"/>
      <c r="F22" s="13"/>
      <c r="G22" s="13"/>
      <c r="H22" s="13"/>
      <c r="I22" s="13"/>
      <c r="J22" s="13">
        <v>2</v>
      </c>
    </row>
    <row r="23" spans="1:10" x14ac:dyDescent="0.3">
      <c r="A23" s="13" t="s">
        <v>69</v>
      </c>
      <c r="B23" s="13"/>
      <c r="C23" s="13"/>
      <c r="D23" s="13"/>
      <c r="E23" s="13"/>
      <c r="F23" s="13"/>
      <c r="G23" s="13"/>
      <c r="H23" s="13"/>
      <c r="I23" s="13"/>
      <c r="J23" s="13">
        <v>2</v>
      </c>
    </row>
    <row r="24" spans="1:10" x14ac:dyDescent="0.3">
      <c r="A24" s="13" t="s">
        <v>70</v>
      </c>
      <c r="B24" s="13"/>
      <c r="C24" s="13"/>
      <c r="D24" s="13"/>
      <c r="E24" s="13"/>
      <c r="F24" s="13"/>
      <c r="G24" s="13"/>
      <c r="H24" s="13"/>
      <c r="I24" s="13"/>
      <c r="J24" s="13">
        <v>2</v>
      </c>
    </row>
    <row r="25" spans="1:10" x14ac:dyDescent="0.3">
      <c r="A25" s="13" t="s">
        <v>71</v>
      </c>
      <c r="B25" s="13"/>
      <c r="C25" s="13"/>
      <c r="D25" s="13"/>
      <c r="E25" s="13"/>
      <c r="F25" s="13"/>
      <c r="G25" s="13"/>
      <c r="H25" s="13"/>
      <c r="I25" s="13"/>
      <c r="J25" s="13">
        <v>2</v>
      </c>
    </row>
    <row r="26" spans="1:10" x14ac:dyDescent="0.3">
      <c r="A26" s="13" t="s">
        <v>72</v>
      </c>
      <c r="B26" s="13"/>
      <c r="C26" s="13"/>
      <c r="D26" s="13"/>
      <c r="E26" s="13"/>
      <c r="F26" s="13"/>
      <c r="G26" s="13"/>
      <c r="H26" s="13"/>
      <c r="I26" s="13"/>
      <c r="J26" s="13">
        <v>2</v>
      </c>
    </row>
    <row r="27" spans="1:10" x14ac:dyDescent="0.3">
      <c r="A27" s="13" t="s">
        <v>73</v>
      </c>
      <c r="B27" s="13"/>
      <c r="C27" s="13"/>
      <c r="D27" s="13"/>
      <c r="E27" s="13"/>
      <c r="F27" s="13"/>
      <c r="G27" s="13"/>
      <c r="H27" s="13"/>
      <c r="I27" s="13"/>
      <c r="J27" s="13">
        <v>2</v>
      </c>
    </row>
    <row r="28" spans="1:10" x14ac:dyDescent="0.3">
      <c r="A28" s="13" t="s">
        <v>74</v>
      </c>
      <c r="B28" s="13"/>
      <c r="C28" s="13"/>
      <c r="D28" s="13"/>
      <c r="E28" s="13"/>
      <c r="F28" s="13"/>
      <c r="G28" s="13"/>
      <c r="H28" s="13"/>
      <c r="I28" s="13"/>
      <c r="J28" s="13">
        <v>2</v>
      </c>
    </row>
    <row r="29" spans="1:10" x14ac:dyDescent="0.3">
      <c r="A29" s="13" t="s">
        <v>75</v>
      </c>
      <c r="B29" s="13"/>
      <c r="C29" s="13"/>
      <c r="D29" s="13"/>
      <c r="E29" s="13"/>
      <c r="F29" s="13"/>
      <c r="G29" s="13"/>
      <c r="H29" s="13"/>
      <c r="I29" s="13"/>
      <c r="J29" s="13">
        <v>2</v>
      </c>
    </row>
    <row r="30" spans="1:10" x14ac:dyDescent="0.3">
      <c r="A30" s="13" t="s">
        <v>76</v>
      </c>
      <c r="B30" s="13"/>
      <c r="C30" s="13"/>
      <c r="D30" s="13"/>
      <c r="E30" s="13"/>
      <c r="F30" s="13"/>
      <c r="G30" s="13"/>
      <c r="H30" s="13"/>
      <c r="I30" s="13"/>
      <c r="J30" s="13">
        <v>2</v>
      </c>
    </row>
    <row r="31" spans="1:10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HP</cp:lastModifiedBy>
  <dcterms:created xsi:type="dcterms:W3CDTF">2026-07-13T05:50:26Z</dcterms:created>
  <dcterms:modified xsi:type="dcterms:W3CDTF">2026-07-13T17:34:10Z</dcterms:modified>
</cp:coreProperties>
</file>