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FAEBD653-E504-4466-BDE6-615A9687251F}" xr6:coauthVersionLast="47" xr6:coauthVersionMax="47" xr10:uidLastSave="{00000000-0000-0000-0000-000000000000}"/>
  <bookViews>
    <workbookView xWindow="-120" yWindow="-120" windowWidth="29040" windowHeight="15720" activeTab="3" xr2:uid="{BCD9D06E-2ACE-420F-8923-CD1E9E7EFA4D}"/>
  </bookViews>
  <sheets>
    <sheet name="Sheet1" sheetId="1" r:id="rId1"/>
    <sheet name="Sheet2" sheetId="2" r:id="rId2"/>
    <sheet name="Sheet3" sheetId="3" r:id="rId3"/>
    <sheet name="Sheet4" sheetId="4" r:id="rId4"/>
  </sheets>
  <externalReferences>
    <externalReference r:id="rId5"/>
  </externalReferences>
  <definedNames>
    <definedName name="ExternalData_1" localSheetId="0" hidden="1">Sheet1!$B$1:$J$301</definedName>
    <definedName name="NativeTimeline_Date">#N/A</definedName>
    <definedName name="Slicer_Category">#N/A</definedName>
  </definedNames>
  <calcPr calcId="191029"/>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7" i="3" l="1"/>
  <c r="K5" i="3"/>
  <c r="K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6E5543-D4E9-4827-9D4E-777E597EB456}" keepAlive="1" name="Query - sales_data_large" description="Connection to the 'sales_data_large' query in the workbook." type="5" refreshedVersion="4"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<sst xmlns="http://schemas.openxmlformats.org/spreadsheetml/2006/main" count="1281" uniqueCount="56">
  <si>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</si>
  <si>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</si>
  <si>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</si>
  <si>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</si>
  <si>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</si>
  <si>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</si>
  <si>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</si>
  <si>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</si>
  <si>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</si>
  <si>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</si>
  <si>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</si>
  <si>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</si>
  <si>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</si>
  <si>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</si>
  <si>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</si>
  <si>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</si>
  <si>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</si>
  <si>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</si>
  <si>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</si>
  <si>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</si>
  <si>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</si>
  <si>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</si>
  <si>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</si>
  <si>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</si>
  <si>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</si>
  <si>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</si>
  <si>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</si>
  <si>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</si>
  <si>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</si>
  <si>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</si>
  <si>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</si>
  <si>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</si>
  <si>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</si>
  <si>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</si>
  <si>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</si>
  <si>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</si>
  <si>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</si>
  <si>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Sum of Total Sales</t>
  </si>
  <si>
    <t>Sum of Quantity</t>
  </si>
  <si>
    <t>total sales</t>
  </si>
  <si>
    <t>total profit</t>
  </si>
  <si>
    <t>total qyt</t>
  </si>
  <si>
    <t>Grand Total</t>
  </si>
  <si>
    <t>Jan</t>
  </si>
  <si>
    <t>Feb</t>
  </si>
  <si>
    <t>Mar</t>
  </si>
  <si>
    <t>Sum of Profit</t>
  </si>
  <si>
    <t>Apr</t>
  </si>
  <si>
    <t>May</t>
  </si>
  <si>
    <t>Jun</t>
  </si>
  <si>
    <t>Jul</t>
  </si>
  <si>
    <t>Aug</t>
  </si>
  <si>
    <t>Sep</t>
  </si>
  <si>
    <t>Oct</t>
  </si>
  <si>
    <t>Count of Category</t>
  </si>
  <si>
    <t>Sum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</si>
</sst>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0" fontId="1" fillId="2" borderId="1" xfId="0" applyFont="1" applyFill="1" applyBorder="1"/>
    <xf numFmtId="0" fontId="0" fillId="0" borderId="0" xfId="0" applyAlignment="1">
      <alignment horizontal="left"/>
    </xf>
    <xf numFmtId="0" fontId="1" fillId="0" borderId="1" xfId="0" applyFont="1" applyBorder="1" applyAlignment="1">
      <alignment horizontal="left"/>
    </xf>
    <xf numFmtId="0" fontId="1" fillId="0" borderId="1" xfId="0" applyFont="1" applyBorder="1"/>
    <xf numFmtId="0" fontId="0" fillId="0" borderId="0" xfId="0" pivotButton="1"/>
    <xf numFmtId="0" fontId="0" fillId="0" borderId="0" xfId="0" applyNumberFormat="1"/>
  </cellXfs>
  <cellStyles count="1">
    <cellStyle name="Normal" xfId="0" builtinId="0"/>
  </cellStyles>
  <dxfs count="6">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total sales</a:t>
            </a:r>
          </a:p>
          <a:p>
            <a:pPr>
              <a:defRPr sz="1800" b="1" i="0" u="none" strike="noStrike" kern="1200" baseline="0">
                <a:solidFill>
                  <a:schemeClr val="dk1">
                    <a:lumMod val="75000"/>
                    <a:lumOff val="25000"/>
                  </a:schemeClr>
                </a:solidFill>
                <a:latin typeface="+mn-lt"/>
                <a:ea typeface="+mn-ea"/>
                <a:cs typeface="+mn-cs"/>
              </a:defRPr>
            </a:pPr>
            <a:endParaRPr lang="en-US"/>
          </a:p>
        </c:rich>
      </c:tx>
      <c:overlay val="0"/>
      <c:spPr>
        <a:noFill/>
        <a:ln w="25400">
          <a:noFill/>
        </a:ln>
      </c:spPr>
    </c:title>
    <c:autoTitleDeleted val="0"/>
    <c:pivotFmts>
      <c:pivotFmt>
        <c:idx val="0"/>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78-4A44-BDDF-A94F5E4116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78-4A44-BDDF-A94F5E4116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78-4A44-BDDF-A94F5E4116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F78-4A44-BDDF-A94F5E4116B5}"/>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78-4A44-BDDF-A94F5E4116B5}"/>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78-4A44-BDDF-A94F5E4116B5}"/>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78-4A44-BDDF-A94F5E4116B5}"/>
                </c:ext>
              </c:extLst>
            </c:dLbl>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F78-4A44-BDDF-A94F5E4116B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7492569</c:v>
              </c:pt>
              <c:pt idx="1">
                <c:v>10716184</c:v>
              </c:pt>
              <c:pt idx="2">
                <c:v>8149763</c:v>
              </c:pt>
              <c:pt idx="3">
                <c:v>10868575</c:v>
              </c:pt>
            </c:numLit>
          </c:val>
          <c:extLst>
            <c:ext xmlns:c16="http://schemas.microsoft.com/office/drawing/2014/chart" uri="{C3380CC4-5D6E-409C-BE32-E72D297353CC}">
              <c16:uniqueId val="{00000008-7F78-4A44-BDDF-A94F5E4116B5}"/>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EA-487C-82F0-41183DBA03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EA-487C-82F0-41183DBA03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5EA-487C-82F0-41183DBA03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5EA-487C-82F0-41183DBA03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307</c:v>
              </c:pt>
              <c:pt idx="1">
                <c:v>393</c:v>
              </c:pt>
              <c:pt idx="2">
                <c:v>363</c:v>
              </c:pt>
              <c:pt idx="3">
                <c:v>416</c:v>
              </c:pt>
            </c:numLit>
          </c:val>
          <c:extLst>
            <c:ext xmlns:c16="http://schemas.microsoft.com/office/drawing/2014/chart" uri="{C3380CC4-5D6E-409C-BE32-E72D297353CC}">
              <c16:uniqueId val="{00000008-55EA-487C-82F0-41183DBA0362}"/>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0"/>
              <c:pt idx="0">
                <c:v>Jan</c:v>
              </c:pt>
              <c:pt idx="1">
                <c:v>Feb</c:v>
              </c:pt>
              <c:pt idx="2">
                <c:v>Mar</c:v>
              </c:pt>
              <c:pt idx="3">
                <c:v>Apr</c:v>
              </c:pt>
              <c:pt idx="4">
                <c:v>May</c:v>
              </c:pt>
              <c:pt idx="5">
                <c:v>Jun</c:v>
              </c:pt>
              <c:pt idx="6">
                <c:v>Jul</c:v>
              </c:pt>
              <c:pt idx="7">
                <c:v>Aug</c:v>
              </c:pt>
              <c:pt idx="8">
                <c:v>Sep</c:v>
              </c:pt>
              <c:pt idx="9">
                <c:v>Oct</c:v>
              </c:pt>
            </c:strLit>
          </c:cat>
          <c:val>
            <c:numLit>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Lit>
          </c:val>
          <c:smooth val="0"/>
          <c:extLst>
            <c:ext xmlns:c16="http://schemas.microsoft.com/office/drawing/2014/chart" uri="{C3380CC4-5D6E-409C-BE32-E72D297353CC}">
              <c16:uniqueId val="{00000000-BB9E-4CBD-98CF-5DBD2F37C699}"/>
            </c:ext>
          </c:extLst>
        </c:ser>
        <c:dLbls>
          <c:showLegendKey val="0"/>
          <c:showVal val="0"/>
          <c:showCatName val="0"/>
          <c:showSerName val="0"/>
          <c:showPercent val="0"/>
          <c:showBubbleSize val="0"/>
        </c:dLbls>
        <c:smooth val="0"/>
        <c:axId val="110210975"/>
        <c:axId val="1"/>
      </c:lineChart>
      <c:catAx>
        <c:axId val="11021097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0975"/>
        <c:crosses val="autoZero"/>
        <c:crossBetween val="between"/>
      </c:valAx>
      <c:spPr>
        <a:noFill/>
        <a:ln>
          <a:solidFill>
            <a:schemeClr val="accent1">
              <a:lumMod val="20000"/>
              <a:lumOff val="80000"/>
            </a:schemeClr>
          </a:solidFill>
        </a:ln>
        <a:effectLst>
          <a:glow rad="63500">
            <a:schemeClr val="accent1">
              <a:lumMod val="60000"/>
              <a:lumOff val="40000"/>
              <a:alpha val="40000"/>
            </a:schemeClr>
          </a:glow>
          <a:outerShdw blurRad="50800" dist="38100" dir="16200000" rotWithShape="0">
            <a:prstClr val="black">
              <a:alpha val="31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lumMod val="60000"/>
          <a:lumOff val="4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44200641586468359"/>
          <c:y val="0.4259889704798136"/>
          <c:w val="0.27975711369412154"/>
          <c:h val="0.40024123389070748"/>
        </c:manualLayout>
      </c:layout>
      <c:barChart>
        <c:barDir val="bar"/>
        <c:grouping val="cluster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317371.19999999984</c:v>
              </c:pt>
              <c:pt idx="1">
                <c:v>415591.40000000008</c:v>
              </c:pt>
              <c:pt idx="2">
                <c:v>369859.39999999997</c:v>
              </c:pt>
              <c:pt idx="3">
                <c:v>429735.00000000017</c:v>
              </c:pt>
            </c:numLit>
          </c:val>
          <c:extLst>
            <c:ext xmlns:c16="http://schemas.microsoft.com/office/drawing/2014/chart" uri="{C3380CC4-5D6E-409C-BE32-E72D297353CC}">
              <c16:uniqueId val="{00000000-5FCA-49F6-A51A-779F56D8DC2B}"/>
            </c:ext>
          </c:extLst>
        </c:ser>
        <c:dLbls>
          <c:showLegendKey val="0"/>
          <c:showVal val="0"/>
          <c:showCatName val="0"/>
          <c:showSerName val="0"/>
          <c:showPercent val="0"/>
          <c:showBubbleSize val="0"/>
        </c:dLbls>
        <c:gapWidth val="182"/>
        <c:axId val="110218047"/>
        <c:axId val="1"/>
      </c:barChart>
      <c:catAx>
        <c:axId val="11021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8047"/>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 dashbord 2.xlsx]Sheet3!PivotTable2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4611111111111109E-2"/>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207ACEF-B724-4D1F-AC66-134AC073919B}" type="VALUE">
                  <a:rPr lang="en-US"/>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4611111111111109E-2"/>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207ACEF-B724-4D1F-AC66-134AC073919B}" type="VALUE">
                  <a:rPr lang="en-US"/>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4611111111111109E-2"/>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207ACEF-B724-4D1F-AC66-134AC073919B}" type="VALUE">
                  <a:rPr lang="en-US"/>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3546981627296589"/>
          <c:y val="0.27458114610673667"/>
          <c:w val="0.68391863517060369"/>
          <c:h val="0.39055920093321667"/>
        </c:manualLayout>
      </c:layout>
      <c:lineChart>
        <c:grouping val="standard"/>
        <c:varyColors val="0"/>
        <c:ser>
          <c:idx val="0"/>
          <c:order val="0"/>
          <c:tx>
            <c:strRef>
              <c:f>Sheet3!$B$13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Lbl>
              <c:idx val="5"/>
              <c:layout>
                <c:manualLayout>
                  <c:x val="-8.4611111111111109E-2"/>
                  <c:y val="1.3888888888888888E-2"/>
                </c:manualLayout>
              </c:layout>
              <c:tx>
                <c:rich>
                  <a:bodyPr/>
                  <a:lstStyle/>
                  <a:p>
                    <a:fld id="{7207ACEF-B724-4D1F-AC66-134AC073919B}" type="VALUE">
                      <a:rPr lang="en-US"/>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A00-4D57-A072-8922A1FE67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Err"/>
            <c:noEndCap val="0"/>
            <c:spPr>
              <a:noFill/>
              <a:ln w="9525" cap="flat" cmpd="sng" algn="ctr">
                <a:solidFill>
                  <a:schemeClr val="lt1">
                    <a:lumMod val="95000"/>
                  </a:schemeClr>
                </a:solidFill>
                <a:round/>
              </a:ln>
              <a:effectLst/>
            </c:spPr>
          </c:errBars>
          <c:cat>
            <c:strRef>
              <c:f>Sheet3!$A$14:$A$22</c:f>
              <c:strCache>
                <c:ptCount val="8"/>
                <c:pt idx="0">
                  <c:v>Camera</c:v>
                </c:pt>
                <c:pt idx="1">
                  <c:v>Fridge</c:v>
                </c:pt>
                <c:pt idx="2">
                  <c:v>Headphones</c:v>
                </c:pt>
                <c:pt idx="3">
                  <c:v>Jeans</c:v>
                </c:pt>
                <c:pt idx="4">
                  <c:v>Laptop</c:v>
                </c:pt>
                <c:pt idx="5">
                  <c:v>Microwave</c:v>
                </c:pt>
                <c:pt idx="6">
                  <c:v>Mobile</c:v>
                </c:pt>
                <c:pt idx="7">
                  <c:v>Shirt</c:v>
                </c:pt>
              </c:strCache>
            </c:strRef>
          </c:cat>
          <c:val>
            <c:numRef>
              <c:f>Sheet3!$B$14:$B$22</c:f>
              <c:numCache>
                <c:formatCode>General</c:formatCode>
                <c:ptCount val="8"/>
                <c:pt idx="0">
                  <c:v>332141</c:v>
                </c:pt>
                <c:pt idx="1">
                  <c:v>1440323</c:v>
                </c:pt>
                <c:pt idx="2">
                  <c:v>1461879</c:v>
                </c:pt>
                <c:pt idx="3">
                  <c:v>1029751</c:v>
                </c:pt>
                <c:pt idx="4">
                  <c:v>995026</c:v>
                </c:pt>
                <c:pt idx="5">
                  <c:v>1393310</c:v>
                </c:pt>
                <c:pt idx="6">
                  <c:v>853918</c:v>
                </c:pt>
                <c:pt idx="7">
                  <c:v>133476</c:v>
                </c:pt>
              </c:numCache>
            </c:numRef>
          </c:val>
          <c:smooth val="0"/>
          <c:extLst>
            <c:ext xmlns:c16="http://schemas.microsoft.com/office/drawing/2014/chart" uri="{C3380CC4-5D6E-409C-BE32-E72D297353CC}">
              <c16:uniqueId val="{00000001-DA00-4D57-A072-8922A1FE6792}"/>
            </c:ext>
          </c:extLst>
        </c:ser>
        <c:dLbls>
          <c:dLblPos val="ctr"/>
          <c:showLegendKey val="0"/>
          <c:showVal val="1"/>
          <c:showCatName val="0"/>
          <c:showSerName val="0"/>
          <c:showPercent val="0"/>
          <c:showBubbleSize val="0"/>
        </c:dLbls>
        <c:marker val="1"/>
        <c:smooth val="0"/>
        <c:axId val="195125727"/>
        <c:axId val="195139039"/>
      </c:lineChart>
      <c:catAx>
        <c:axId val="1951257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39039"/>
        <c:crosses val="autoZero"/>
        <c:auto val="1"/>
        <c:lblAlgn val="ctr"/>
        <c:lblOffset val="100"/>
        <c:noMultiLvlLbl val="0"/>
      </c:catAx>
      <c:valAx>
        <c:axId val="195139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2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 dashbord 2.xlsx]Sheet3!PivotTable8</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91447944007005"/>
          <c:y val="0.24476633129192185"/>
          <c:w val="0.53367804024496934"/>
          <c:h val="0.6293157626130067"/>
        </c:manualLayout>
      </c:layout>
      <c:barChart>
        <c:barDir val="bar"/>
        <c:grouping val="clustered"/>
        <c:varyColors val="0"/>
        <c:ser>
          <c:idx val="0"/>
          <c:order val="0"/>
          <c:tx>
            <c:strRef>
              <c:f>Sheet3!$J$12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Sheet3!$I$13:$I$21</c:f>
              <c:strCache>
                <c:ptCount val="8"/>
                <c:pt idx="0">
                  <c:v>Camera</c:v>
                </c:pt>
                <c:pt idx="1">
                  <c:v>Fridge</c:v>
                </c:pt>
                <c:pt idx="2">
                  <c:v>Headphones</c:v>
                </c:pt>
                <c:pt idx="3">
                  <c:v>Jeans</c:v>
                </c:pt>
                <c:pt idx="4">
                  <c:v>Laptop</c:v>
                </c:pt>
                <c:pt idx="5">
                  <c:v>Microwave</c:v>
                </c:pt>
                <c:pt idx="6">
                  <c:v>Mobile</c:v>
                </c:pt>
                <c:pt idx="7">
                  <c:v>Shirt</c:v>
                </c:pt>
              </c:strCache>
            </c:strRef>
          </c:cat>
          <c:val>
            <c:numRef>
              <c:f>Sheet3!$J$13:$J$21</c:f>
              <c:numCache>
                <c:formatCode>General</c:formatCode>
                <c:ptCount val="8"/>
                <c:pt idx="0">
                  <c:v>5</c:v>
                </c:pt>
                <c:pt idx="1">
                  <c:v>10</c:v>
                </c:pt>
                <c:pt idx="2">
                  <c:v>11</c:v>
                </c:pt>
                <c:pt idx="3">
                  <c:v>7</c:v>
                </c:pt>
                <c:pt idx="4">
                  <c:v>6</c:v>
                </c:pt>
                <c:pt idx="5">
                  <c:v>15</c:v>
                </c:pt>
                <c:pt idx="6">
                  <c:v>11</c:v>
                </c:pt>
                <c:pt idx="7">
                  <c:v>3</c:v>
                </c:pt>
              </c:numCache>
            </c:numRef>
          </c:val>
          <c:extLst>
            <c:ext xmlns:c16="http://schemas.microsoft.com/office/drawing/2014/chart" uri="{C3380CC4-5D6E-409C-BE32-E72D297353CC}">
              <c16:uniqueId val="{00000000-FFD9-4F1C-917F-1406777EFE7B}"/>
            </c:ext>
          </c:extLst>
        </c:ser>
        <c:dLbls>
          <c:showLegendKey val="0"/>
          <c:showVal val="0"/>
          <c:showCatName val="0"/>
          <c:showSerName val="0"/>
          <c:showPercent val="0"/>
          <c:showBubbleSize val="0"/>
        </c:dLbls>
        <c:gapWidth val="182"/>
        <c:overlap val="-50"/>
        <c:axId val="974883583"/>
        <c:axId val="974878175"/>
      </c:barChart>
      <c:catAx>
        <c:axId val="9748835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4878175"/>
        <c:crosses val="autoZero"/>
        <c:auto val="1"/>
        <c:lblAlgn val="ctr"/>
        <c:lblOffset val="100"/>
        <c:noMultiLvlLbl val="0"/>
      </c:catAx>
      <c:valAx>
        <c:axId val="97487817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488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[jay dashbord 2.xlsx]Sheet3!PivotTable1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Sheet3!$H$5</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18-4C6D-B308-DD9346633822}"/>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18-4C6D-B308-DD9346633822}"/>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18-4C6D-B308-DD9346633822}"/>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18-4C6D-B308-DD9346633822}"/>
              </c:ext>
            </c:extLst>
          </c:dPt>
          <c:cat>
            <c:strRef>
              <c:f>Sheet3!$G$6:$G$10</c:f>
              <c:strCache>
                <c:ptCount val="4"/>
                <c:pt idx="0">
                  <c:v>East</c:v>
                </c:pt>
                <c:pt idx="1">
                  <c:v>North</c:v>
                </c:pt>
                <c:pt idx="2">
                  <c:v>South</c:v>
                </c:pt>
                <c:pt idx="3">
                  <c:v>West</c:v>
                </c:pt>
              </c:strCache>
            </c:strRef>
          </c:cat>
          <c:val>
            <c:numRef>
              <c:f>Sheet3!$H$6:$H$10</c:f>
              <c:numCache>
                <c:formatCode>General</c:formatCode>
                <c:ptCount val="4"/>
                <c:pt idx="0">
                  <c:v>83</c:v>
                </c:pt>
                <c:pt idx="1">
                  <c:v>51</c:v>
                </c:pt>
                <c:pt idx="2">
                  <c:v>118</c:v>
                </c:pt>
                <c:pt idx="3">
                  <c:v>96</c:v>
                </c:pt>
              </c:numCache>
            </c:numRef>
          </c:val>
          <c:extLst>
            <c:ext xmlns:c16="http://schemas.microsoft.com/office/drawing/2014/chart" uri="{C3380CC4-5D6E-409C-BE32-E72D297353CC}">
              <c16:uniqueId val="{00000008-0818-4C6D-B308-DD93466338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 dashbord 2.xlsx]Sheet3!PivotTable9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by</a:t>
            </a:r>
            <a:r>
              <a:rPr lang="en-US" baseline="0"/>
              <a:t> unit price</a:t>
            </a:r>
            <a:endParaRPr lang="en-US"/>
          </a:p>
        </c:rich>
      </c:tx>
      <c:layout>
        <c:manualLayout>
          <c:xMode val="edge"/>
          <c:yMode val="edge"/>
          <c:x val="0.27413863646124814"/>
          <c:y val="4.58851028497793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5">
              <a:lumMod val="75000"/>
            </a:schemeClr>
          </a:solidFill>
          <a:ln>
            <a:solidFill>
              <a:schemeClr val="tx2"/>
            </a:solidFill>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tx2"/>
              </a:solidFill>
              <a:round/>
            </a:ln>
            <a:effectLst>
              <a:outerShdw blurRad="57150" dist="19050" dir="5400000" algn="ctr" rotWithShape="0">
                <a:srgbClr val="000000">
                  <a:alpha val="63000"/>
                </a:srgbClr>
              </a:outerShdw>
            </a:effectLst>
          </c:spPr>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tx2"/>
            </a:solidFill>
          </a:ln>
          <a:effectLst>
            <a:outerShdw blurRad="57150" dist="19050" dir="5400000" algn="ctr" rotWithShape="0">
              <a:srgbClr val="000000">
                <a:alpha val="63000"/>
              </a:srgbClr>
            </a:outerShdw>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tx2"/>
            </a:solidFill>
          </a:ln>
          <a:effectLst>
            <a:outerShdw blurRad="57150" dist="19050" dir="5400000" algn="ctr" rotWithShape="0">
              <a:srgbClr val="000000">
                <a:alpha val="63000"/>
              </a:srgbClr>
            </a:outerShdw>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1.5948967323203157E-2"/>
              <c:y val="-0.19627739116810361"/>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9.5693803939219113E-3"/>
              <c:y val="-0.10152278853522601"/>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6.3795869292812739E-3"/>
              <c:y val="-0.10152278853522601"/>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1.2759173858562548E-2"/>
              <c:y val="-0.20304557707045201"/>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5.8478871298833568E-17"/>
              <c:y val="-0.11505916033992288"/>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3.189793464640637E-3"/>
              <c:y val="-0.18950920526575521"/>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3.189793464640637E-3"/>
              <c:y val="-8.7986416730529274E-2"/>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
          <c:idx val="0"/>
          <c:layout>
            <c:manualLayout>
              <c:x val="-6.3795869292812739E-3"/>
              <c:y val="-0.10152278853522601"/>
            </c:manualLayout>
          </c:layout>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Sheet3!$M$12</c:f>
              <c:strCache>
                <c:ptCount val="1"/>
                <c:pt idx="0">
                  <c:v>Total</c:v>
                </c:pt>
              </c:strCache>
            </c:strRef>
          </c:tx>
          <c:spPr>
            <a:solidFill>
              <a:schemeClr val="accent5">
                <a:lumMod val="75000"/>
              </a:schemeClr>
            </a:solidFill>
            <a:ln>
              <a:solidFill>
                <a:schemeClr val="tx2"/>
              </a:solidFill>
            </a:ln>
            <a:effectLst>
              <a:outerShdw blurRad="57150" dist="19050" dir="5400000" algn="ctr" rotWithShape="0">
                <a:srgbClr val="000000">
                  <a:alpha val="63000"/>
                </a:srgbClr>
              </a:outerShdw>
            </a:effectLst>
          </c:spPr>
          <c:dLbls>
            <c:dLbl>
              <c:idx val="0"/>
              <c:layout>
                <c:manualLayout>
                  <c:x val="9.5693803939219113E-3"/>
                  <c:y val="-0.101522788535226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86-4396-A2D0-71EDBD879396}"/>
                </c:ext>
              </c:extLst>
            </c:dLbl>
            <c:dLbl>
              <c:idx val="1"/>
              <c:layout>
                <c:manualLayout>
                  <c:x val="1.5948967323203157E-2"/>
                  <c:y val="-0.196277391168103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86-4396-A2D0-71EDBD879396}"/>
                </c:ext>
              </c:extLst>
            </c:dLbl>
            <c:dLbl>
              <c:idx val="2"/>
              <c:layout>
                <c:manualLayout>
                  <c:x val="6.3795869292812739E-3"/>
                  <c:y val="-0.101522788535226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86-4396-A2D0-71EDBD879396}"/>
                </c:ext>
              </c:extLst>
            </c:dLbl>
            <c:dLbl>
              <c:idx val="3"/>
              <c:layout>
                <c:manualLayout>
                  <c:x val="1.2759173858562548E-2"/>
                  <c:y val="-0.20304557707045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86-4396-A2D0-71EDBD879396}"/>
                </c:ext>
              </c:extLst>
            </c:dLbl>
            <c:dLbl>
              <c:idx val="4"/>
              <c:layout>
                <c:manualLayout>
                  <c:x val="-5.8478871298833568E-17"/>
                  <c:y val="-0.115059160339922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86-4396-A2D0-71EDBD879396}"/>
                </c:ext>
              </c:extLst>
            </c:dLbl>
            <c:dLbl>
              <c:idx val="5"/>
              <c:layout>
                <c:manualLayout>
                  <c:x val="3.189793464640637E-3"/>
                  <c:y val="-0.189509205265755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86-4396-A2D0-71EDBD879396}"/>
                </c:ext>
              </c:extLst>
            </c:dLbl>
            <c:dLbl>
              <c:idx val="6"/>
              <c:layout>
                <c:manualLayout>
                  <c:x val="-3.189793464640637E-3"/>
                  <c:y val="-8.7986416730529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86-4396-A2D0-71EDBD879396}"/>
                </c:ext>
              </c:extLst>
            </c:dLbl>
            <c:dLbl>
              <c:idx val="7"/>
              <c:layout>
                <c:manualLayout>
                  <c:x val="-6.3795869292812739E-3"/>
                  <c:y val="-0.101522788535226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86-4396-A2D0-71EDBD879396}"/>
                </c:ext>
              </c:extLst>
            </c:dLbl>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Sheet3!$L$13:$L$21</c:f>
              <c:strCache>
                <c:ptCount val="8"/>
                <c:pt idx="0">
                  <c:v>Camera</c:v>
                </c:pt>
                <c:pt idx="1">
                  <c:v>Fridge</c:v>
                </c:pt>
                <c:pt idx="2">
                  <c:v>Headphones</c:v>
                </c:pt>
                <c:pt idx="3">
                  <c:v>Jeans</c:v>
                </c:pt>
                <c:pt idx="4">
                  <c:v>Laptop</c:v>
                </c:pt>
                <c:pt idx="5">
                  <c:v>Microwave</c:v>
                </c:pt>
                <c:pt idx="6">
                  <c:v>Mobile</c:v>
                </c:pt>
                <c:pt idx="7">
                  <c:v>Shirt</c:v>
                </c:pt>
              </c:strCache>
            </c:strRef>
          </c:cat>
          <c:val>
            <c:numRef>
              <c:f>Sheet3!$M$13:$M$21</c:f>
              <c:numCache>
                <c:formatCode>General</c:formatCode>
                <c:ptCount val="8"/>
                <c:pt idx="0">
                  <c:v>110367</c:v>
                </c:pt>
                <c:pt idx="1">
                  <c:v>275367</c:v>
                </c:pt>
                <c:pt idx="2">
                  <c:v>296034</c:v>
                </c:pt>
                <c:pt idx="3">
                  <c:v>179524</c:v>
                </c:pt>
                <c:pt idx="4">
                  <c:v>176650</c:v>
                </c:pt>
                <c:pt idx="5">
                  <c:v>337669</c:v>
                </c:pt>
                <c:pt idx="6">
                  <c:v>206283</c:v>
                </c:pt>
                <c:pt idx="7">
                  <c:v>34662</c:v>
                </c:pt>
              </c:numCache>
            </c:numRef>
          </c:val>
          <c:extLst>
            <c:ext xmlns:c16="http://schemas.microsoft.com/office/drawing/2014/chart" uri="{C3380CC4-5D6E-409C-BE32-E72D297353CC}">
              <c16:uniqueId val="{00000000-F986-4396-A2D0-71EDBD879396}"/>
            </c:ext>
          </c:extLst>
        </c:ser>
        <c:dLbls>
          <c:showLegendKey val="0"/>
          <c:showVal val="1"/>
          <c:showCatName val="0"/>
          <c:showSerName val="0"/>
          <c:showPercent val="0"/>
          <c:showBubbleSize val="0"/>
        </c:dLbls>
        <c:axId val="974852799"/>
        <c:axId val="974854463"/>
      </c:areaChart>
      <c:catAx>
        <c:axId val="97485279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854463"/>
        <c:crosses val="autoZero"/>
        <c:auto val="1"/>
        <c:lblAlgn val="ctr"/>
        <c:lblOffset val="100"/>
        <c:noMultiLvlLbl val="0"/>
      </c:catAx>
      <c:valAx>
        <c:axId val="974854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852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 dashbord 2.xlsx]Sheet3!PivotTable3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7150" dist="19050" dir="5400000" algn="ctr" rotWithShape="0">
              <a:srgbClr val="000000">
                <a:alpha val="63000"/>
              </a:srgbClr>
            </a:outerShdw>
          </a:effectLst>
        </c:spPr>
        <c:dLbl>
          <c:idx val="0"/>
          <c:layout>
            <c:manualLayout>
              <c:x val="0.15190091863517061"/>
              <c:y val="2.081620005832604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solidFill>
              <a:schemeClr val="accent1">
                <a:lumMod val="60000"/>
                <a:lumOff val="40000"/>
              </a:schemeClr>
            </a:solidFill>
          </a:ln>
          <a:effectLst>
            <a:outerShdw blurRad="57150" dist="19050" dir="5400000" algn="ctr" rotWithShape="0">
              <a:srgbClr val="000000">
                <a:alpha val="63000"/>
              </a:srgbClr>
            </a:outerShdw>
          </a:effectLst>
        </c:spPr>
        <c:dLbl>
          <c:idx val="0"/>
          <c:layout>
            <c:manualLayout>
              <c:x val="-6.9824803149606318E-2"/>
              <c:y val="0.13509806065908425"/>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730555555555554"/>
                  <c:h val="4.6227034120734894E-2"/>
                </c:manualLayout>
              </c15:layout>
            </c:ext>
          </c:extLst>
        </c:dLbl>
      </c:pivotFmt>
      <c:pivotFmt>
        <c:idx val="3"/>
        <c:spPr>
          <a:solidFill>
            <a:schemeClr val="tx2"/>
          </a:solidFill>
          <a:ln>
            <a:noFill/>
          </a:ln>
          <a:effectLst>
            <a:outerShdw blurRad="57150" dist="19050" dir="5400000" algn="ctr" rotWithShape="0">
              <a:srgbClr val="000000">
                <a:alpha val="63000"/>
              </a:srgbClr>
            </a:outerShdw>
          </a:effectLst>
        </c:spPr>
        <c:dLbl>
          <c:idx val="0"/>
          <c:layout>
            <c:manualLayout>
              <c:x val="-0.125"/>
              <c:y val="3.306758530183726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2B39525C-D368-40E3-A742-4EE328BC879A}"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6.5972222222222224E-2"/>
                </c:manualLayout>
              </c15:layout>
              <c15:dlblFieldTable/>
              <c15:showDataLabelsRange val="0"/>
            </c:ext>
          </c:extLst>
        </c:dLbl>
      </c:pivotFmt>
      <c:pivotFmt>
        <c:idx val="4"/>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4.2382764654418252E-2"/>
              <c:y val="-0.1688134295713035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3CAFD452-79AE-4F6C-B6AF-F317C408B182}"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163888888888888"/>
                  <c:h val="6.0115923009623796E-2"/>
                </c:manualLayout>
              </c15:layout>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solidFill>
              <a:schemeClr val="accent1">
                <a:lumMod val="60000"/>
                <a:lumOff val="40000"/>
              </a:schemeClr>
            </a:solidFill>
          </a:ln>
          <a:effectLst>
            <a:outerShdw blurRad="57150" dist="19050" dir="5400000" algn="ctr" rotWithShape="0">
              <a:srgbClr val="000000">
                <a:alpha val="63000"/>
              </a:srgbClr>
            </a:outerShdw>
          </a:effectLst>
        </c:spPr>
        <c:dLbl>
          <c:idx val="0"/>
          <c:layout>
            <c:manualLayout>
              <c:x val="-6.9824803149606318E-2"/>
              <c:y val="0.13509806065908425"/>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730555555555554"/>
                  <c:h val="4.6227034120734894E-2"/>
                </c:manualLayout>
              </c15:layout>
            </c:ext>
          </c:extLst>
        </c:dLbl>
      </c:pivotFmt>
      <c:pivotFmt>
        <c:idx val="7"/>
        <c:spPr>
          <a:solidFill>
            <a:schemeClr val="tx2"/>
          </a:solidFill>
          <a:ln>
            <a:noFill/>
          </a:ln>
          <a:effectLst>
            <a:outerShdw blurRad="57150" dist="19050" dir="5400000" algn="ctr" rotWithShape="0">
              <a:srgbClr val="000000">
                <a:alpha val="63000"/>
              </a:srgbClr>
            </a:outerShdw>
          </a:effectLst>
        </c:spPr>
        <c:dLbl>
          <c:idx val="0"/>
          <c:layout>
            <c:manualLayout>
              <c:x val="-0.125"/>
              <c:y val="3.306758530183726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2B39525C-D368-40E3-A742-4EE328BC879A}"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6.5972222222222224E-2"/>
                </c:manualLayout>
              </c15:layout>
              <c15:dlblFieldTable/>
              <c15:showDataLabelsRange val="0"/>
            </c:ext>
          </c:extLst>
        </c:dLbl>
      </c:pivotFmt>
      <c:pivotFmt>
        <c:idx val="8"/>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4.2382764654418252E-2"/>
              <c:y val="-0.1688134295713035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3CAFD452-79AE-4F6C-B6AF-F317C408B182}"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163888888888888"/>
                  <c:h val="6.0115923009623796E-2"/>
                </c:manualLayout>
              </c15:layout>
              <c15:dlblFieldTable/>
              <c15:showDataLabelsRange val="0"/>
            </c:ext>
          </c:extLst>
        </c:dLbl>
      </c:pivotFmt>
      <c:pivotFmt>
        <c:idx val="9"/>
        <c:spPr>
          <a:solidFill>
            <a:schemeClr val="accent1"/>
          </a:solidFill>
          <a:ln>
            <a:noFill/>
          </a:ln>
          <a:effectLst>
            <a:outerShdw blurRad="57150" dist="19050" dir="5400000" algn="ctr" rotWithShape="0">
              <a:srgbClr val="000000">
                <a:alpha val="63000"/>
              </a:srgbClr>
            </a:outerShdw>
          </a:effectLst>
        </c:spPr>
        <c:dLbl>
          <c:idx val="0"/>
          <c:layout>
            <c:manualLayout>
              <c:x val="0.15190091863517061"/>
              <c:y val="2.081620005832604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solidFill>
              <a:schemeClr val="accent1">
                <a:lumMod val="60000"/>
                <a:lumOff val="40000"/>
              </a:schemeClr>
            </a:solidFill>
          </a:ln>
          <a:effectLst>
            <a:outerShdw blurRad="57150" dist="19050" dir="5400000" algn="ctr" rotWithShape="0">
              <a:srgbClr val="000000">
                <a:alpha val="63000"/>
              </a:srgbClr>
            </a:outerShdw>
          </a:effectLst>
        </c:spPr>
        <c:dLbl>
          <c:idx val="0"/>
          <c:layout>
            <c:manualLayout>
              <c:x val="-6.9824803149606318E-2"/>
              <c:y val="0.13509806065908425"/>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730555555555554"/>
                  <c:h val="4.6227034120734894E-2"/>
                </c:manualLayout>
              </c15:layout>
            </c:ext>
          </c:extLst>
        </c:dLbl>
      </c:pivotFmt>
      <c:pivotFmt>
        <c:idx val="12"/>
        <c:spPr>
          <a:solidFill>
            <a:schemeClr val="tx2"/>
          </a:solidFill>
          <a:ln>
            <a:noFill/>
          </a:ln>
          <a:effectLst>
            <a:outerShdw blurRad="57150" dist="19050" dir="5400000" algn="ctr" rotWithShape="0">
              <a:srgbClr val="000000">
                <a:alpha val="63000"/>
              </a:srgbClr>
            </a:outerShdw>
          </a:effectLst>
        </c:spPr>
        <c:dLbl>
          <c:idx val="0"/>
          <c:layout>
            <c:manualLayout>
              <c:x val="-0.125"/>
              <c:y val="3.306758530183726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2B39525C-D368-40E3-A742-4EE328BC879A}"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6.5972222222222224E-2"/>
                </c:manualLayout>
              </c15:layout>
              <c15:dlblFieldTable/>
              <c15:showDataLabelsRange val="0"/>
            </c:ext>
          </c:extLst>
        </c:dLbl>
      </c:pivotFmt>
      <c:pivotFmt>
        <c:idx val="13"/>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4.2382764654418252E-2"/>
              <c:y val="-0.1688134295713035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3CAFD452-79AE-4F6C-B6AF-F317C408B182}"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163888888888888"/>
                  <c:h val="6.0115923009623796E-2"/>
                </c:manualLayout>
              </c15:layout>
              <c15:dlblFieldTable/>
              <c15:showDataLabelsRange val="0"/>
            </c:ext>
          </c:extLst>
        </c:dLbl>
      </c:pivotFmt>
      <c:pivotFmt>
        <c:idx val="14"/>
        <c:spPr>
          <a:solidFill>
            <a:schemeClr val="accent1"/>
          </a:solidFill>
          <a:ln>
            <a:noFill/>
          </a:ln>
          <a:effectLst>
            <a:outerShdw blurRad="57150" dist="19050" dir="5400000" algn="ctr" rotWithShape="0">
              <a:srgbClr val="000000">
                <a:alpha val="63000"/>
              </a:srgbClr>
            </a:outerShdw>
          </a:effectLst>
        </c:spPr>
        <c:dLbl>
          <c:idx val="0"/>
          <c:layout>
            <c:manualLayout>
              <c:x val="0.314337636729419"/>
              <c:y val="-0.1718623033392502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40000"/>
              <a:lumOff val="60000"/>
            </a:schemeClr>
          </a:solidFill>
          <a:ln>
            <a:solidFill>
              <a:schemeClr val="accent1">
                <a:lumMod val="60000"/>
                <a:lumOff val="40000"/>
              </a:schemeClr>
            </a:solidFill>
          </a:ln>
          <a:effectLst>
            <a:outerShdw blurRad="57150" dist="19050" dir="5400000" algn="ctr" rotWithShape="0">
              <a:srgbClr val="000000">
                <a:alpha val="63000"/>
              </a:srgbClr>
            </a:outerShdw>
          </a:effectLst>
        </c:spPr>
        <c:dLbl>
          <c:idx val="0"/>
          <c:layout>
            <c:manualLayout>
              <c:x val="-6.9824803149606318E-2"/>
              <c:y val="0.13509806065908425"/>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730555555555554"/>
                  <c:h val="4.6227034120734894E-2"/>
                </c:manualLayout>
              </c15:layout>
            </c:ext>
          </c:extLst>
        </c:dLbl>
      </c:pivotFmt>
      <c:pivotFmt>
        <c:idx val="17"/>
        <c:spPr>
          <a:solidFill>
            <a:schemeClr val="tx2"/>
          </a:solidFill>
          <a:ln>
            <a:noFill/>
          </a:ln>
          <a:effectLst>
            <a:outerShdw blurRad="57150" dist="19050" dir="5400000" algn="ctr" rotWithShape="0">
              <a:srgbClr val="000000">
                <a:alpha val="63000"/>
              </a:srgbClr>
            </a:outerShdw>
          </a:effectLst>
        </c:spPr>
        <c:dLbl>
          <c:idx val="0"/>
          <c:layout>
            <c:manualLayout>
              <c:x val="-0.125"/>
              <c:y val="3.306758530183726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2B39525C-D368-40E3-A742-4EE328BC879A}"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6.5972222222222224E-2"/>
                </c:manualLayout>
              </c15:layout>
              <c15:dlblFieldTable/>
              <c15:showDataLabelsRange val="0"/>
            </c:ext>
          </c:extLst>
        </c:dLbl>
      </c:pivotFmt>
      <c:pivotFmt>
        <c:idx val="18"/>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4.2382764654418252E-2"/>
              <c:y val="-0.1688134295713035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3CAFD452-79AE-4F6C-B6AF-F317C408B182}"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163888888888888"/>
                  <c:h val="6.0115923009623796E-2"/>
                </c:manualLayout>
              </c15:layout>
              <c15:dlblFieldTable/>
              <c15:showDataLabelsRange val="0"/>
            </c:ext>
          </c:extLst>
        </c:dLbl>
      </c:pivotFmt>
      <c:pivotFmt>
        <c:idx val="19"/>
        <c:spPr>
          <a:solidFill>
            <a:schemeClr val="accent1"/>
          </a:solidFill>
          <a:ln>
            <a:noFill/>
          </a:ln>
          <a:effectLst>
            <a:outerShdw blurRad="57150" dist="19050" dir="5400000" algn="ctr" rotWithShape="0">
              <a:srgbClr val="000000">
                <a:alpha val="63000"/>
              </a:srgbClr>
            </a:outerShdw>
          </a:effectLst>
        </c:spPr>
        <c:dLbl>
          <c:idx val="0"/>
          <c:layout>
            <c:manualLayout>
              <c:x val="0.314337636729419"/>
              <c:y val="-0.1718623033392502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40000"/>
              <a:lumOff val="60000"/>
            </a:schemeClr>
          </a:solidFill>
          <a:ln>
            <a:solidFill>
              <a:schemeClr val="accent1">
                <a:lumMod val="60000"/>
                <a:lumOff val="40000"/>
              </a:schemeClr>
            </a:solidFill>
          </a:ln>
          <a:effectLst>
            <a:outerShdw blurRad="57150" dist="19050" dir="5400000" algn="ctr" rotWithShape="0">
              <a:srgbClr val="000000">
                <a:alpha val="63000"/>
              </a:srgbClr>
            </a:outerShdw>
          </a:effectLst>
        </c:spPr>
        <c:dLbl>
          <c:idx val="0"/>
          <c:layout>
            <c:manualLayout>
              <c:x val="8.2189726284214407E-2"/>
              <c:y val="5.3797543599732878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225058406160769"/>
                  <c:h val="9.733051661225274E-2"/>
                </c:manualLayout>
              </c15:layout>
            </c:ext>
          </c:extLst>
        </c:dLbl>
      </c:pivotFmt>
      <c:pivotFmt>
        <c:idx val="22"/>
        <c:spPr>
          <a:solidFill>
            <a:schemeClr val="tx2"/>
          </a:solidFill>
          <a:ln>
            <a:noFill/>
          </a:ln>
          <a:effectLst>
            <a:outerShdw blurRad="57150" dist="19050" dir="5400000" algn="ctr" rotWithShape="0">
              <a:srgbClr val="000000">
                <a:alpha val="63000"/>
              </a:srgbClr>
            </a:outerShdw>
          </a:effectLst>
        </c:spPr>
        <c:dLbl>
          <c:idx val="0"/>
          <c:layout>
            <c:manualLayout>
              <c:x val="3.2509301721900148E-2"/>
              <c:y val="3.306757387033929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2B39525C-D368-40E3-A742-4EE328BC879A}"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711545672175594"/>
                  <c:h val="9.3846927670626551E-2"/>
                </c:manualLayout>
              </c15:layout>
              <c15:dlblFieldTable/>
              <c15:showDataLabelsRange val="0"/>
            </c:ext>
          </c:extLst>
        </c:dLbl>
      </c:pivotFmt>
      <c:pivotFmt>
        <c:idx val="23"/>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0.26164662109544001"/>
              <c:y val="-5.49922723074249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3CAFD452-79AE-4F6C-B6AF-F317C408B182}"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757289954140348"/>
                  <c:h val="6.4761538953972214E-2"/>
                </c:manualLayout>
              </c15:layout>
              <c15:dlblFieldTable/>
              <c15:showDataLabelsRange val="0"/>
            </c:ext>
          </c:extLst>
        </c:dLbl>
      </c:pivotFmt>
      <c:pivotFmt>
        <c:idx val="24"/>
        <c:spPr>
          <a:solidFill>
            <a:schemeClr val="accent1"/>
          </a:solidFill>
          <a:ln>
            <a:noFill/>
          </a:ln>
          <a:effectLst>
            <a:outerShdw blurRad="57150" dist="19050" dir="5400000" algn="ctr" rotWithShape="0">
              <a:srgbClr val="000000">
                <a:alpha val="63000"/>
              </a:srgbClr>
            </a:outerShdw>
          </a:effectLst>
        </c:spPr>
        <c:dLbl>
          <c:idx val="0"/>
          <c:layout>
            <c:manualLayout>
              <c:x val="1.3971330506763569E-2"/>
              <c:y val="-9.753024774342231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Sheet3!$F$15</c:f>
              <c:strCache>
                <c:ptCount val="1"/>
                <c:pt idx="0">
                  <c:v>Total</c:v>
                </c:pt>
              </c:strCache>
            </c:strRef>
          </c:tx>
          <c:explosion val="4"/>
          <c:dPt>
            <c:idx val="0"/>
            <c:bubble3D val="0"/>
            <c:explosion val="0"/>
            <c:spPr>
              <a:solidFill>
                <a:schemeClr val="accent1">
                  <a:lumMod val="40000"/>
                  <a:lumOff val="60000"/>
                </a:schemeClr>
              </a:solidFill>
              <a:ln>
                <a:solidFill>
                  <a:schemeClr val="accent1">
                    <a:lumMod val="60000"/>
                    <a:lumOff val="4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18-4320-BEDE-3734FE299CF5}"/>
              </c:ext>
            </c:extLst>
          </c:dPt>
          <c:dPt>
            <c:idx val="1"/>
            <c:bubble3D val="0"/>
            <c:spPr>
              <a:solidFill>
                <a:schemeClr val="tx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18-4320-BEDE-3734FE299CF5}"/>
              </c:ext>
            </c:extLst>
          </c:dPt>
          <c:dPt>
            <c:idx val="2"/>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D18-4320-BEDE-3734FE299CF5}"/>
              </c:ext>
            </c:extLst>
          </c:dPt>
          <c:dPt>
            <c:idx val="3"/>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D18-4320-BEDE-3734FE299CF5}"/>
              </c:ext>
            </c:extLst>
          </c:dPt>
          <c:dLbls>
            <c:dLbl>
              <c:idx val="0"/>
              <c:layout>
                <c:manualLayout>
                  <c:x val="8.2189726284214407E-2"/>
                  <c:y val="5.3797543599732878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225058406160769"/>
                      <c:h val="9.733051661225274E-2"/>
                    </c:manualLayout>
                  </c15:layout>
                </c:ext>
                <c:ext xmlns:c16="http://schemas.microsoft.com/office/drawing/2014/chart" uri="{C3380CC4-5D6E-409C-BE32-E72D297353CC}">
                  <c16:uniqueId val="{00000001-6D18-4320-BEDE-3734FE299CF5}"/>
                </c:ext>
              </c:extLst>
            </c:dLbl>
            <c:dLbl>
              <c:idx val="1"/>
              <c:layout>
                <c:manualLayout>
                  <c:x val="3.2509301721900148E-2"/>
                  <c:y val="3.306757387033929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2B39525C-D368-40E3-A742-4EE328BC879A}"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711545672175594"/>
                      <c:h val="9.3846927670626551E-2"/>
                    </c:manualLayout>
                  </c15:layout>
                  <c15:dlblFieldTable/>
                  <c15:showDataLabelsRange val="0"/>
                </c:ext>
                <c:ext xmlns:c16="http://schemas.microsoft.com/office/drawing/2014/chart" uri="{C3380CC4-5D6E-409C-BE32-E72D297353CC}">
                  <c16:uniqueId val="{00000003-6D18-4320-BEDE-3734FE299CF5}"/>
                </c:ext>
              </c:extLst>
            </c:dLbl>
            <c:dLbl>
              <c:idx val="2"/>
              <c:layout>
                <c:manualLayout>
                  <c:x val="0.26164662109544001"/>
                  <c:y val="-5.49922723074249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3CAFD452-79AE-4F6C-B6AF-F317C408B182}"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757289954140348"/>
                      <c:h val="6.4761538953972214E-2"/>
                    </c:manualLayout>
                  </c15:layout>
                  <c15:dlblFieldTable/>
                  <c15:showDataLabelsRange val="0"/>
                </c:ext>
                <c:ext xmlns:c16="http://schemas.microsoft.com/office/drawing/2014/chart" uri="{C3380CC4-5D6E-409C-BE32-E72D297353CC}">
                  <c16:uniqueId val="{00000005-6D18-4320-BEDE-3734FE299CF5}"/>
                </c:ext>
              </c:extLst>
            </c:dLbl>
            <c:dLbl>
              <c:idx val="3"/>
              <c:layout>
                <c:manualLayout>
                  <c:x val="1.3971330506763569E-2"/>
                  <c:y val="-9.7530247743422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18-4320-BEDE-3734FE299CF5}"/>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Sheet3!$E$16:$E$20</c:f>
              <c:strCache>
                <c:ptCount val="4"/>
                <c:pt idx="0">
                  <c:v>East</c:v>
                </c:pt>
                <c:pt idx="1">
                  <c:v>North</c:v>
                </c:pt>
                <c:pt idx="2">
                  <c:v>South</c:v>
                </c:pt>
                <c:pt idx="3">
                  <c:v>West</c:v>
                </c:pt>
              </c:strCache>
            </c:strRef>
          </c:cat>
          <c:val>
            <c:numRef>
              <c:f>Sheet3!$F$16:$F$20</c:f>
              <c:numCache>
                <c:formatCode>General</c:formatCode>
                <c:ptCount val="4"/>
                <c:pt idx="0">
                  <c:v>72835.599999999991</c:v>
                </c:pt>
                <c:pt idx="1">
                  <c:v>76230.8</c:v>
                </c:pt>
                <c:pt idx="2">
                  <c:v>111237.20000000001</c:v>
                </c:pt>
                <c:pt idx="3">
                  <c:v>63007.6</c:v>
                </c:pt>
              </c:numCache>
            </c:numRef>
          </c:val>
          <c:extLst>
            <c:ext xmlns:c16="http://schemas.microsoft.com/office/drawing/2014/chart" uri="{C3380CC4-5D6E-409C-BE32-E72D297353CC}">
              <c16:uniqueId val="{00000008-6D18-4320-BEDE-3734FE299C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18</xdr:col>
      <xdr:colOff>565150</xdr:colOff>
      <xdr:row>21</xdr:row>
      <xdr:rowOff>15240</xdr:rowOff>
    </xdr:to>
    <xdr:sp macro="" textlink="">
      <xdr:nvSpPr>
        <xdr:cNvPr id="2" name="Rectangle 1">
          <a:extLst>
            <a:ext uri="{FF2B5EF4-FFF2-40B4-BE49-F238E27FC236}">
              <a16:creationId xmlns:a16="http://schemas.microsoft.com/office/drawing/2014/main" id="{17BA516D-BA79-4BEB-BB91-163E349BBD24}"/>
            </a:ext>
          </a:extLst>
        </xdr:cNvPr>
        <xdr:cNvSpPr/>
      </xdr:nvSpPr>
      <xdr:spPr>
        <a:xfrm>
          <a:off x="0" y="7620"/>
          <a:ext cx="11537950" cy="40081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215900</xdr:colOff>
      <xdr:row>0</xdr:row>
      <xdr:rowOff>163830</xdr:rowOff>
    </xdr:from>
    <xdr:to>
      <xdr:col>4</xdr:col>
      <xdr:colOff>431800</xdr:colOff>
      <xdr:row>5</xdr:row>
      <xdr:rowOff>73244</xdr:rowOff>
    </xdr:to>
    <xdr:sp macro="" textlink="">
      <xdr:nvSpPr>
        <xdr:cNvPr id="3" name="Rectangle 2">
          <a:extLst>
            <a:ext uri="{FF2B5EF4-FFF2-40B4-BE49-F238E27FC236}">
              <a16:creationId xmlns:a16="http://schemas.microsoft.com/office/drawing/2014/main" id="{04DA351D-4C19-4649-BB19-D0BFDCC604B8}"/>
            </a:ext>
          </a:extLst>
        </xdr:cNvPr>
        <xdr:cNvSpPr/>
      </xdr:nvSpPr>
      <xdr:spPr>
        <a:xfrm>
          <a:off x="215900" y="163830"/>
          <a:ext cx="2654300" cy="861914"/>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0</xdr:col>
      <xdr:colOff>196850</xdr:colOff>
      <xdr:row>5</xdr:row>
      <xdr:rowOff>165100</xdr:rowOff>
    </xdr:from>
    <xdr:to>
      <xdr:col>4</xdr:col>
      <xdr:colOff>476250</xdr:colOff>
      <xdr:row>20</xdr:row>
      <xdr:rowOff>44450</xdr:rowOff>
    </xdr:to>
    <xdr:sp macro="" textlink="">
      <xdr:nvSpPr>
        <xdr:cNvPr id="4" name="Rectangle 3">
          <a:extLst>
            <a:ext uri="{FF2B5EF4-FFF2-40B4-BE49-F238E27FC236}">
              <a16:creationId xmlns:a16="http://schemas.microsoft.com/office/drawing/2014/main" id="{832283CB-C206-4C21-82FE-85BF30DA17BA}"/>
            </a:ext>
          </a:extLst>
        </xdr:cNvPr>
        <xdr:cNvSpPr/>
      </xdr:nvSpPr>
      <xdr:spPr>
        <a:xfrm>
          <a:off x="196850" y="1117600"/>
          <a:ext cx="2717800" cy="27368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5</xdr:col>
      <xdr:colOff>82550</xdr:colOff>
      <xdr:row>6</xdr:row>
      <xdr:rowOff>11430</xdr:rowOff>
    </xdr:from>
    <xdr:to>
      <xdr:col>11</xdr:col>
      <xdr:colOff>374650</xdr:colOff>
      <xdr:row>20</xdr:row>
      <xdr:rowOff>32425</xdr:rowOff>
    </xdr:to>
    <xdr:sp macro="" textlink="">
      <xdr:nvSpPr>
        <xdr:cNvPr id="5" name="Rectangle 4">
          <a:extLst>
            <a:ext uri="{FF2B5EF4-FFF2-40B4-BE49-F238E27FC236}">
              <a16:creationId xmlns:a16="http://schemas.microsoft.com/office/drawing/2014/main" id="{84697517-2819-4593-9335-93AB5D52B788}"/>
            </a:ext>
          </a:extLst>
        </xdr:cNvPr>
        <xdr:cNvSpPr/>
      </xdr:nvSpPr>
      <xdr:spPr>
        <a:xfrm>
          <a:off x="3130550" y="1154430"/>
          <a:ext cx="3949700" cy="268799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11</xdr:col>
      <xdr:colOff>495300</xdr:colOff>
      <xdr:row>0</xdr:row>
      <xdr:rowOff>120650</xdr:rowOff>
    </xdr:from>
    <xdr:to>
      <xdr:col>15</xdr:col>
      <xdr:colOff>444500</xdr:colOff>
      <xdr:row>10</xdr:row>
      <xdr:rowOff>117507</xdr:rowOff>
    </xdr:to>
    <xdr:sp macro="" textlink="">
      <xdr:nvSpPr>
        <xdr:cNvPr id="6" name="Rectangle 5">
          <a:extLst>
            <a:ext uri="{FF2B5EF4-FFF2-40B4-BE49-F238E27FC236}">
              <a16:creationId xmlns:a16="http://schemas.microsoft.com/office/drawing/2014/main" id="{D476EB32-C505-41C2-9B6D-70BD91A25DE0}"/>
            </a:ext>
          </a:extLst>
        </xdr:cNvPr>
        <xdr:cNvSpPr/>
      </xdr:nvSpPr>
      <xdr:spPr>
        <a:xfrm>
          <a:off x="7200900" y="120650"/>
          <a:ext cx="2387600" cy="190185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11</xdr:col>
      <xdr:colOff>495300</xdr:colOff>
      <xdr:row>11</xdr:row>
      <xdr:rowOff>11430</xdr:rowOff>
    </xdr:from>
    <xdr:to>
      <xdr:col>15</xdr:col>
      <xdr:colOff>444500</xdr:colOff>
      <xdr:row>20</xdr:row>
      <xdr:rowOff>18</xdr:rowOff>
    </xdr:to>
    <xdr:sp macro="" textlink="">
      <xdr:nvSpPr>
        <xdr:cNvPr id="7" name="Rectangle 6">
          <a:extLst>
            <a:ext uri="{FF2B5EF4-FFF2-40B4-BE49-F238E27FC236}">
              <a16:creationId xmlns:a16="http://schemas.microsoft.com/office/drawing/2014/main" id="{85D8EBDC-B8BA-426F-8BA5-62DF730654DC}"/>
            </a:ext>
          </a:extLst>
        </xdr:cNvPr>
        <xdr:cNvSpPr/>
      </xdr:nvSpPr>
      <xdr:spPr>
        <a:xfrm>
          <a:off x="7200900" y="2106930"/>
          <a:ext cx="2387600" cy="170308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16</xdr:col>
      <xdr:colOff>82550</xdr:colOff>
      <xdr:row>0</xdr:row>
      <xdr:rowOff>155575</xdr:rowOff>
    </xdr:from>
    <xdr:to>
      <xdr:col>18</xdr:col>
      <xdr:colOff>387350</xdr:colOff>
      <xdr:row>6</xdr:row>
      <xdr:rowOff>161925</xdr:rowOff>
    </xdr:to>
    <xdr:sp macro="" textlink="">
      <xdr:nvSpPr>
        <xdr:cNvPr id="8" name="Rectangle 7">
          <a:extLst>
            <a:ext uri="{FF2B5EF4-FFF2-40B4-BE49-F238E27FC236}">
              <a16:creationId xmlns:a16="http://schemas.microsoft.com/office/drawing/2014/main" id="{CAE0211C-8223-47D2-8E3B-0771C7AFA24B}"/>
            </a:ext>
          </a:extLst>
        </xdr:cNvPr>
        <xdr:cNvSpPr/>
      </xdr:nvSpPr>
      <xdr:spPr>
        <a:xfrm>
          <a:off x="9836150" y="155575"/>
          <a:ext cx="1524000" cy="11493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16</xdr:col>
      <xdr:colOff>113030</xdr:colOff>
      <xdr:row>7</xdr:row>
      <xdr:rowOff>172085</xdr:rowOff>
    </xdr:from>
    <xdr:to>
      <xdr:col>18</xdr:col>
      <xdr:colOff>411480</xdr:colOff>
      <xdr:row>13</xdr:row>
      <xdr:rowOff>114935</xdr:rowOff>
    </xdr:to>
    <xdr:sp macro="" textlink="">
      <xdr:nvSpPr>
        <xdr:cNvPr id="9" name="Rectangle 8">
          <a:extLst>
            <a:ext uri="{FF2B5EF4-FFF2-40B4-BE49-F238E27FC236}">
              <a16:creationId xmlns:a16="http://schemas.microsoft.com/office/drawing/2014/main" id="{39E6C57A-BF8E-4388-86A5-29F0216F4CA1}"/>
            </a:ext>
          </a:extLst>
        </xdr:cNvPr>
        <xdr:cNvSpPr/>
      </xdr:nvSpPr>
      <xdr:spPr>
        <a:xfrm>
          <a:off x="9866630" y="1505585"/>
          <a:ext cx="1517650" cy="10858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16</xdr:col>
      <xdr:colOff>78740</xdr:colOff>
      <xdr:row>14</xdr:row>
      <xdr:rowOff>45720</xdr:rowOff>
    </xdr:from>
    <xdr:to>
      <xdr:col>18</xdr:col>
      <xdr:colOff>377190</xdr:colOff>
      <xdr:row>19</xdr:row>
      <xdr:rowOff>163858</xdr:rowOff>
    </xdr:to>
    <xdr:sp macro="" textlink="">
      <xdr:nvSpPr>
        <xdr:cNvPr id="10" name="Rectangle 9">
          <a:extLst>
            <a:ext uri="{FF2B5EF4-FFF2-40B4-BE49-F238E27FC236}">
              <a16:creationId xmlns:a16="http://schemas.microsoft.com/office/drawing/2014/main" id="{49F4799F-E50D-401B-8CA7-CACCAE1BB2AB}"/>
            </a:ext>
          </a:extLst>
        </xdr:cNvPr>
        <xdr:cNvSpPr/>
      </xdr:nvSpPr>
      <xdr:spPr>
        <a:xfrm>
          <a:off x="9832340" y="2712720"/>
          <a:ext cx="1517650" cy="107063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IN"/>
        </a:p>
      </xdr:txBody>
    </xdr:sp>
    <xdr:clientData/>
  </xdr:twoCellAnchor>
  <xdr:twoCellAnchor>
    <xdr:from>
      <xdr:col>0</xdr:col>
      <xdr:colOff>114300</xdr:colOff>
      <xdr:row>5</xdr:row>
      <xdr:rowOff>142875</xdr:rowOff>
    </xdr:from>
    <xdr:to>
      <xdr:col>4</xdr:col>
      <xdr:colOff>495300</xdr:colOff>
      <xdr:row>20</xdr:row>
      <xdr:rowOff>57150</xdr:rowOff>
    </xdr:to>
    <xdr:graphicFrame macro="">
      <xdr:nvGraphicFramePr>
        <xdr:cNvPr id="11" name="Chart 11">
          <a:extLst>
            <a:ext uri="{FF2B5EF4-FFF2-40B4-BE49-F238E27FC236}">
              <a16:creationId xmlns:a16="http://schemas.microsoft.com/office/drawing/2014/main" id="{C539F362-FB90-4AE3-A99E-54BBD221F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476250</xdr:colOff>
      <xdr:row>0</xdr:row>
      <xdr:rowOff>104775</xdr:rowOff>
    </xdr:from>
    <xdr:to>
      <xdr:col>15</xdr:col>
      <xdr:colOff>457200</xdr:colOff>
      <xdr:row>10</xdr:row>
      <xdr:rowOff>123825</xdr:rowOff>
    </xdr:to>
    <xdr:graphicFrame macro="">
      <xdr:nvGraphicFramePr>
        <xdr:cNvPr id="12" name="Chart 12">
          <a:extLst>
            <a:ext uri="{FF2B5EF4-FFF2-40B4-BE49-F238E27FC236}">
              <a16:creationId xmlns:a16="http://schemas.microsoft.com/office/drawing/2014/main" id="{1DC26342-E9DC-4CAE-A0A3-46A7044A5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5</xdr:row>
      <xdr:rowOff>142875</xdr:rowOff>
    </xdr:from>
    <xdr:to>
      <xdr:col>11</xdr:col>
      <xdr:colOff>406400</xdr:colOff>
      <xdr:row>20</xdr:row>
      <xdr:rowOff>28575</xdr:rowOff>
    </xdr:to>
    <xdr:graphicFrame macro="">
      <xdr:nvGraphicFramePr>
        <xdr:cNvPr id="13" name="Chart 2">
          <a:extLst>
            <a:ext uri="{FF2B5EF4-FFF2-40B4-BE49-F238E27FC236}">
              <a16:creationId xmlns:a16="http://schemas.microsoft.com/office/drawing/2014/main" id="{559AD619-71A7-44DF-B3AD-7E493D290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495300</xdr:colOff>
      <xdr:row>11</xdr:row>
      <xdr:rowOff>19050</xdr:rowOff>
    </xdr:from>
    <xdr:to>
      <xdr:col>15</xdr:col>
      <xdr:colOff>457200</xdr:colOff>
      <xdr:row>20</xdr:row>
      <xdr:rowOff>0</xdr:rowOff>
    </xdr:to>
    <xdr:graphicFrame macro="">
      <xdr:nvGraphicFramePr>
        <xdr:cNvPr id="14" name="Chart 11">
          <a:extLst>
            <a:ext uri="{FF2B5EF4-FFF2-40B4-BE49-F238E27FC236}">
              <a16:creationId xmlns:a16="http://schemas.microsoft.com/office/drawing/2014/main" id="{4D35F0EA-AA22-4A1E-B28B-E1C6F12C8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281940</xdr:colOff>
      <xdr:row>1</xdr:row>
      <xdr:rowOff>7620</xdr:rowOff>
    </xdr:from>
    <xdr:to>
      <xdr:col>18</xdr:col>
      <xdr:colOff>137160</xdr:colOff>
      <xdr:row>2</xdr:row>
      <xdr:rowOff>161979</xdr:rowOff>
    </xdr:to>
    <xdr:sp macro="" textlink="">
      <xdr:nvSpPr>
        <xdr:cNvPr id="15" name="TextBox 14">
          <a:extLst>
            <a:ext uri="{FF2B5EF4-FFF2-40B4-BE49-F238E27FC236}">
              <a16:creationId xmlns:a16="http://schemas.microsoft.com/office/drawing/2014/main" id="{B195FAD8-71A5-4E5F-B274-45837104218A}"/>
            </a:ext>
          </a:extLst>
        </xdr:cNvPr>
        <xdr:cNvSpPr txBox="1"/>
      </xdr:nvSpPr>
      <xdr:spPr>
        <a:xfrm rot="10800000" flipH="1" flipV="1">
          <a:off x="10035540" y="198120"/>
          <a:ext cx="1074420" cy="3448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Total</a:t>
          </a:r>
          <a:r>
            <a:rPr lang="en-US" sz="1600" baseline="0"/>
            <a:t> Sales</a:t>
          </a:r>
          <a:endParaRPr lang="en-US" sz="1600"/>
        </a:p>
      </xdr:txBody>
    </xdr:sp>
    <xdr:clientData/>
  </xdr:twoCellAnchor>
  <xdr:twoCellAnchor>
    <xdr:from>
      <xdr:col>16</xdr:col>
      <xdr:colOff>236220</xdr:colOff>
      <xdr:row>4</xdr:row>
      <xdr:rowOff>7620</xdr:rowOff>
    </xdr:from>
    <xdr:to>
      <xdr:col>18</xdr:col>
      <xdr:colOff>274320</xdr:colOff>
      <xdr:row>6</xdr:row>
      <xdr:rowOff>7620</xdr:rowOff>
    </xdr:to>
    <xdr:sp macro="" textlink="[1]Sheet1!K5">
      <xdr:nvSpPr>
        <xdr:cNvPr id="16" name="TextBox 15">
          <a:extLst>
            <a:ext uri="{FF2B5EF4-FFF2-40B4-BE49-F238E27FC236}">
              <a16:creationId xmlns:a16="http://schemas.microsoft.com/office/drawing/2014/main" id="{E7A9699E-78A3-45DE-9664-5A12356999D7}"/>
            </a:ext>
          </a:extLst>
        </xdr:cNvPr>
        <xdr:cNvSpPr txBox="1"/>
      </xdr:nvSpPr>
      <xdr:spPr>
        <a:xfrm>
          <a:off x="9989820" y="769620"/>
          <a:ext cx="12573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CAC25E-CBD5-4A9B-B20F-8CC434724FDC}" type="TxLink">
            <a:rPr lang="en-US" sz="1600" b="0" i="0" u="none" strike="noStrike">
              <a:solidFill>
                <a:srgbClr val="000000"/>
              </a:solidFill>
              <a:latin typeface="Calibri"/>
              <a:ea typeface="Calibri"/>
              <a:cs typeface="Calibri"/>
            </a:rPr>
            <a:t>37227091</a:t>
          </a:fld>
          <a:endParaRPr lang="en-US" sz="1600"/>
        </a:p>
      </xdr:txBody>
    </xdr:sp>
    <xdr:clientData/>
  </xdr:twoCellAnchor>
  <xdr:twoCellAnchor>
    <xdr:from>
      <xdr:col>16</xdr:col>
      <xdr:colOff>243840</xdr:colOff>
      <xdr:row>8</xdr:row>
      <xdr:rowOff>15240</xdr:rowOff>
    </xdr:from>
    <xdr:to>
      <xdr:col>18</xdr:col>
      <xdr:colOff>236220</xdr:colOff>
      <xdr:row>10</xdr:row>
      <xdr:rowOff>7620</xdr:rowOff>
    </xdr:to>
    <xdr:sp macro="" textlink="">
      <xdr:nvSpPr>
        <xdr:cNvPr id="17" name="TextBox 16">
          <a:extLst>
            <a:ext uri="{FF2B5EF4-FFF2-40B4-BE49-F238E27FC236}">
              <a16:creationId xmlns:a16="http://schemas.microsoft.com/office/drawing/2014/main" id="{8D07A9FC-AFFA-4554-9F52-8CF78DB96CB7}"/>
            </a:ext>
          </a:extLst>
        </xdr:cNvPr>
        <xdr:cNvSpPr txBox="1"/>
      </xdr:nvSpPr>
      <xdr:spPr>
        <a:xfrm rot="10800000" flipH="1" flipV="1">
          <a:off x="9997440" y="1539240"/>
          <a:ext cx="12115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 Profit</a:t>
          </a:r>
        </a:p>
      </xdr:txBody>
    </xdr:sp>
    <xdr:clientData/>
  </xdr:twoCellAnchor>
  <xdr:twoCellAnchor>
    <xdr:from>
      <xdr:col>16</xdr:col>
      <xdr:colOff>259080</xdr:colOff>
      <xdr:row>10</xdr:row>
      <xdr:rowOff>154305</xdr:rowOff>
    </xdr:from>
    <xdr:to>
      <xdr:col>18</xdr:col>
      <xdr:colOff>251460</xdr:colOff>
      <xdr:row>12</xdr:row>
      <xdr:rowOff>146685</xdr:rowOff>
    </xdr:to>
    <xdr:sp macro="" textlink="[1]Sheet1!K6">
      <xdr:nvSpPr>
        <xdr:cNvPr id="18" name="TextBox 17">
          <a:extLst>
            <a:ext uri="{FF2B5EF4-FFF2-40B4-BE49-F238E27FC236}">
              <a16:creationId xmlns:a16="http://schemas.microsoft.com/office/drawing/2014/main" id="{6D11A6E3-F791-4D22-AAD7-286351B12C83}"/>
            </a:ext>
          </a:extLst>
        </xdr:cNvPr>
        <xdr:cNvSpPr txBox="1"/>
      </xdr:nvSpPr>
      <xdr:spPr>
        <a:xfrm rot="10800000" flipH="1" flipV="1">
          <a:off x="10012680" y="2059305"/>
          <a:ext cx="12115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4F209B-D67F-4AC9-809F-122025A8E474}" type="TxLink">
            <a:rPr lang="en-US" sz="1600" b="0" i="0" u="none" strike="noStrike">
              <a:solidFill>
                <a:srgbClr val="000000"/>
              </a:solidFill>
              <a:latin typeface="Calibri"/>
              <a:ea typeface="Calibri"/>
              <a:cs typeface="Calibri"/>
            </a:rPr>
            <a:t>1532557</a:t>
          </a:fld>
          <a:endParaRPr lang="en-US" sz="1600"/>
        </a:p>
      </xdr:txBody>
    </xdr:sp>
    <xdr:clientData/>
  </xdr:twoCellAnchor>
  <xdr:twoCellAnchor>
    <xdr:from>
      <xdr:col>16</xdr:col>
      <xdr:colOff>251460</xdr:colOff>
      <xdr:row>14</xdr:row>
      <xdr:rowOff>91440</xdr:rowOff>
    </xdr:from>
    <xdr:to>
      <xdr:col>18</xdr:col>
      <xdr:colOff>243840</xdr:colOff>
      <xdr:row>16</xdr:row>
      <xdr:rowOff>83820</xdr:rowOff>
    </xdr:to>
    <xdr:sp macro="" textlink="">
      <xdr:nvSpPr>
        <xdr:cNvPr id="19" name="TextBox 18">
          <a:extLst>
            <a:ext uri="{FF2B5EF4-FFF2-40B4-BE49-F238E27FC236}">
              <a16:creationId xmlns:a16="http://schemas.microsoft.com/office/drawing/2014/main" id="{4D85DC38-AD33-4D68-AE08-A2D9C7FAF9C4}"/>
            </a:ext>
          </a:extLst>
        </xdr:cNvPr>
        <xdr:cNvSpPr txBox="1"/>
      </xdr:nvSpPr>
      <xdr:spPr>
        <a:xfrm rot="10800000" flipH="1" flipV="1">
          <a:off x="10005060" y="2758440"/>
          <a:ext cx="12115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Total Qyt</a:t>
          </a:r>
        </a:p>
      </xdr:txBody>
    </xdr:sp>
    <xdr:clientData/>
  </xdr:twoCellAnchor>
  <xdr:twoCellAnchor>
    <xdr:from>
      <xdr:col>16</xdr:col>
      <xdr:colOff>251460</xdr:colOff>
      <xdr:row>17</xdr:row>
      <xdr:rowOff>78105</xdr:rowOff>
    </xdr:from>
    <xdr:to>
      <xdr:col>18</xdr:col>
      <xdr:colOff>243840</xdr:colOff>
      <xdr:row>19</xdr:row>
      <xdr:rowOff>70485</xdr:rowOff>
    </xdr:to>
    <xdr:sp macro="" textlink="[1]Sheet1!K7">
      <xdr:nvSpPr>
        <xdr:cNvPr id="20" name="TextBox 19">
          <a:extLst>
            <a:ext uri="{FF2B5EF4-FFF2-40B4-BE49-F238E27FC236}">
              <a16:creationId xmlns:a16="http://schemas.microsoft.com/office/drawing/2014/main" id="{C231A395-108A-42C3-939A-8B7FF2ABEB39}"/>
            </a:ext>
          </a:extLst>
        </xdr:cNvPr>
        <xdr:cNvSpPr txBox="1"/>
      </xdr:nvSpPr>
      <xdr:spPr>
        <a:xfrm rot="10800000" flipH="1" flipV="1">
          <a:off x="10005060" y="3316605"/>
          <a:ext cx="12115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D2BC32-9605-4689-AF89-777BE7E170B6}" type="TxLink">
            <a:rPr lang="en-US" sz="1600" b="0" i="0" u="none" strike="noStrike">
              <a:solidFill>
                <a:srgbClr val="000000"/>
              </a:solidFill>
              <a:latin typeface="Calibri"/>
              <a:ea typeface="Calibri"/>
              <a:cs typeface="Calibri"/>
            </a:rPr>
            <a:t>1479</a:t>
          </a:fld>
          <a:endParaRPr lang="en-US" sz="1600"/>
        </a:p>
      </xdr:txBody>
    </xdr:sp>
    <xdr:clientData/>
  </xdr:twoCellAnchor>
  <xdr:twoCellAnchor>
    <xdr:from>
      <xdr:col>5</xdr:col>
      <xdr:colOff>106680</xdr:colOff>
      <xdr:row>1</xdr:row>
      <xdr:rowOff>108585</xdr:rowOff>
    </xdr:from>
    <xdr:to>
      <xdr:col>11</xdr:col>
      <xdr:colOff>335280</xdr:colOff>
      <xdr:row>5</xdr:row>
      <xdr:rowOff>15346</xdr:rowOff>
    </xdr:to>
    <xdr:sp macro="" textlink="">
      <xdr:nvSpPr>
        <xdr:cNvPr id="21" name="TextBox 20">
          <a:extLst>
            <a:ext uri="{FF2B5EF4-FFF2-40B4-BE49-F238E27FC236}">
              <a16:creationId xmlns:a16="http://schemas.microsoft.com/office/drawing/2014/main" id="{B7E4D9B2-7EC8-4F61-982F-38772899C9A3}"/>
            </a:ext>
          </a:extLst>
        </xdr:cNvPr>
        <xdr:cNvSpPr txBox="1"/>
      </xdr:nvSpPr>
      <xdr:spPr>
        <a:xfrm>
          <a:off x="3154680" y="299085"/>
          <a:ext cx="3886200" cy="668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Diwali Sales Dashboard - 2026</a:t>
          </a:r>
          <a:endParaRPr lang="en-US" sz="2000">
            <a:effectLst/>
          </a:endParaRPr>
        </a:p>
        <a:p>
          <a:endParaRPr lang="en-US" sz="1100"/>
        </a:p>
      </xdr:txBody>
    </xdr:sp>
    <xdr:clientData/>
  </xdr:twoCellAnchor>
  <xdr:twoCellAnchor editAs="oneCell">
    <xdr:from>
      <xdr:col>0</xdr:col>
      <xdr:colOff>196850</xdr:colOff>
      <xdr:row>0</xdr:row>
      <xdr:rowOff>163830</xdr:rowOff>
    </xdr:from>
    <xdr:to>
      <xdr:col>4</xdr:col>
      <xdr:colOff>444500</xdr:colOff>
      <xdr:row>5</xdr:row>
      <xdr:rowOff>106679</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B5C32442-9D34-4104-AAC0-983762BCCD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6850" y="163830"/>
              <a:ext cx="268605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257176</xdr:colOff>
      <xdr:row>0</xdr:row>
      <xdr:rowOff>66675</xdr:rowOff>
    </xdr:from>
    <xdr:to>
      <xdr:col>24</xdr:col>
      <xdr:colOff>542926</xdr:colOff>
      <xdr:row>33</xdr:row>
      <xdr:rowOff>171450</xdr:rowOff>
    </xdr:to>
    <xdr:sp macro="" textlink="">
      <xdr:nvSpPr>
        <xdr:cNvPr id="2" name="Rectangle 1">
          <a:extLst>
            <a:ext uri="{FF2B5EF4-FFF2-40B4-BE49-F238E27FC236}">
              <a16:creationId xmlns:a16="http://schemas.microsoft.com/office/drawing/2014/main" id="{AB5D66D1-DEA3-1D32-4DE6-C15267159AAE}"/>
            </a:ext>
          </a:extLst>
        </xdr:cNvPr>
        <xdr:cNvSpPr/>
      </xdr:nvSpPr>
      <xdr:spPr>
        <a:xfrm>
          <a:off x="2085976" y="66675"/>
          <a:ext cx="13087350" cy="6391275"/>
        </a:xfrm>
        <a:prstGeom prst="rect">
          <a:avLst/>
        </a:prstGeom>
        <a:solidFill>
          <a:schemeClr val="tx2">
            <a:lumMod val="20000"/>
            <a:lumOff val="8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0</xdr:row>
      <xdr:rowOff>180975</xdr:rowOff>
    </xdr:from>
    <xdr:to>
      <xdr:col>17</xdr:col>
      <xdr:colOff>533400</xdr:colOff>
      <xdr:row>3</xdr:row>
      <xdr:rowOff>114300</xdr:rowOff>
    </xdr:to>
    <xdr:sp macro="" textlink="">
      <xdr:nvSpPr>
        <xdr:cNvPr id="3" name="TextBox 2">
          <a:extLst>
            <a:ext uri="{FF2B5EF4-FFF2-40B4-BE49-F238E27FC236}">
              <a16:creationId xmlns:a16="http://schemas.microsoft.com/office/drawing/2014/main" id="{F0088DCF-4BFE-E16C-311F-DFE716F91797}"/>
            </a:ext>
          </a:extLst>
        </xdr:cNvPr>
        <xdr:cNvSpPr txBox="1"/>
      </xdr:nvSpPr>
      <xdr:spPr>
        <a:xfrm>
          <a:off x="5829300" y="180975"/>
          <a:ext cx="5067300"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effectLst/>
              <a:latin typeface="+mn-lt"/>
              <a:ea typeface="+mn-ea"/>
              <a:cs typeface="+mn-cs"/>
            </a:rPr>
            <a:t>Diwali Sales Dashboard - 2026</a:t>
          </a:r>
          <a:endParaRPr lang="en-IN" sz="2400">
            <a:effectLst/>
          </a:endParaRPr>
        </a:p>
        <a:p>
          <a:endParaRPr lang="en-IN" sz="1100"/>
        </a:p>
      </xdr:txBody>
    </xdr:sp>
    <xdr:clientData/>
  </xdr:twoCellAnchor>
  <xdr:twoCellAnchor>
    <xdr:from>
      <xdr:col>9</xdr:col>
      <xdr:colOff>352424</xdr:colOff>
      <xdr:row>4</xdr:row>
      <xdr:rowOff>61912</xdr:rowOff>
    </xdr:from>
    <xdr:to>
      <xdr:col>12</xdr:col>
      <xdr:colOff>95250</xdr:colOff>
      <xdr:row>9</xdr:row>
      <xdr:rowOff>28575</xdr:rowOff>
    </xdr:to>
    <xdr:sp macro="" textlink="">
      <xdr:nvSpPr>
        <xdr:cNvPr id="4" name="TextBox 3">
          <a:extLst>
            <a:ext uri="{FF2B5EF4-FFF2-40B4-BE49-F238E27FC236}">
              <a16:creationId xmlns:a16="http://schemas.microsoft.com/office/drawing/2014/main" id="{BCE7EC79-E139-B6FB-1C18-376E930EC759}"/>
            </a:ext>
          </a:extLst>
        </xdr:cNvPr>
        <xdr:cNvSpPr txBox="1"/>
      </xdr:nvSpPr>
      <xdr:spPr>
        <a:xfrm>
          <a:off x="5838824" y="823912"/>
          <a:ext cx="1571626" cy="9191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190501</xdr:colOff>
      <xdr:row>4</xdr:row>
      <xdr:rowOff>38100</xdr:rowOff>
    </xdr:from>
    <xdr:to>
      <xdr:col>15</xdr:col>
      <xdr:colOff>19051</xdr:colOff>
      <xdr:row>9</xdr:row>
      <xdr:rowOff>38100</xdr:rowOff>
    </xdr:to>
    <xdr:sp macro="" textlink="">
      <xdr:nvSpPr>
        <xdr:cNvPr id="6" name="TextBox 5">
          <a:extLst>
            <a:ext uri="{FF2B5EF4-FFF2-40B4-BE49-F238E27FC236}">
              <a16:creationId xmlns:a16="http://schemas.microsoft.com/office/drawing/2014/main" id="{A778D6E7-C05F-04F1-9D47-16D5CA541F3F}"/>
            </a:ext>
          </a:extLst>
        </xdr:cNvPr>
        <xdr:cNvSpPr txBox="1"/>
      </xdr:nvSpPr>
      <xdr:spPr>
        <a:xfrm>
          <a:off x="7505701" y="800100"/>
          <a:ext cx="165735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85724</xdr:colOff>
      <xdr:row>4</xdr:row>
      <xdr:rowOff>42861</xdr:rowOff>
    </xdr:from>
    <xdr:to>
      <xdr:col>17</xdr:col>
      <xdr:colOff>514349</xdr:colOff>
      <xdr:row>9</xdr:row>
      <xdr:rowOff>28575</xdr:rowOff>
    </xdr:to>
    <xdr:sp macro="" textlink="">
      <xdr:nvSpPr>
        <xdr:cNvPr id="7" name="TextBox 6">
          <a:extLst>
            <a:ext uri="{FF2B5EF4-FFF2-40B4-BE49-F238E27FC236}">
              <a16:creationId xmlns:a16="http://schemas.microsoft.com/office/drawing/2014/main" id="{AFE31A0A-F6C6-E304-2AA6-36D84BB94758}"/>
            </a:ext>
          </a:extLst>
        </xdr:cNvPr>
        <xdr:cNvSpPr txBox="1"/>
      </xdr:nvSpPr>
      <xdr:spPr>
        <a:xfrm>
          <a:off x="9229724" y="804861"/>
          <a:ext cx="1647825" cy="938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400050</xdr:colOff>
      <xdr:row>0</xdr:row>
      <xdr:rowOff>171450</xdr:rowOff>
    </xdr:from>
    <xdr:to>
      <xdr:col>9</xdr:col>
      <xdr:colOff>219075</xdr:colOff>
      <xdr:row>9</xdr:row>
      <xdr:rowOff>66676</xdr:rowOff>
    </xdr:to>
    <xdr:sp macro="" textlink="">
      <xdr:nvSpPr>
        <xdr:cNvPr id="8" name="Rectangle 7">
          <a:extLst>
            <a:ext uri="{FF2B5EF4-FFF2-40B4-BE49-F238E27FC236}">
              <a16:creationId xmlns:a16="http://schemas.microsoft.com/office/drawing/2014/main" id="{A9439D17-EEAB-7563-97DB-B99013A4F934}"/>
            </a:ext>
          </a:extLst>
        </xdr:cNvPr>
        <xdr:cNvSpPr/>
      </xdr:nvSpPr>
      <xdr:spPr>
        <a:xfrm>
          <a:off x="2228850" y="171450"/>
          <a:ext cx="3476625" cy="16097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381000</xdr:colOff>
      <xdr:row>13</xdr:row>
      <xdr:rowOff>57150</xdr:rowOff>
    </xdr:from>
    <xdr:to>
      <xdr:col>9</xdr:col>
      <xdr:colOff>219075</xdr:colOff>
      <xdr:row>17</xdr:row>
      <xdr:rowOff>114300</xdr:rowOff>
    </xdr:to>
    <xdr:sp macro="" textlink="">
      <xdr:nvSpPr>
        <xdr:cNvPr id="9" name="Rectangle 8">
          <a:extLst>
            <a:ext uri="{FF2B5EF4-FFF2-40B4-BE49-F238E27FC236}">
              <a16:creationId xmlns:a16="http://schemas.microsoft.com/office/drawing/2014/main" id="{A1197B92-A01F-BD49-B3F6-6E1D6E8A1A63}"/>
            </a:ext>
          </a:extLst>
        </xdr:cNvPr>
        <xdr:cNvSpPr/>
      </xdr:nvSpPr>
      <xdr:spPr>
        <a:xfrm>
          <a:off x="2209800" y="2533650"/>
          <a:ext cx="3495675" cy="819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438150</xdr:colOff>
      <xdr:row>18</xdr:row>
      <xdr:rowOff>9525</xdr:rowOff>
    </xdr:from>
    <xdr:to>
      <xdr:col>9</xdr:col>
      <xdr:colOff>257175</xdr:colOff>
      <xdr:row>32</xdr:row>
      <xdr:rowOff>66675</xdr:rowOff>
    </xdr:to>
    <xdr:sp macro="" textlink="">
      <xdr:nvSpPr>
        <xdr:cNvPr id="10" name="Rectangle 9">
          <a:extLst>
            <a:ext uri="{FF2B5EF4-FFF2-40B4-BE49-F238E27FC236}">
              <a16:creationId xmlns:a16="http://schemas.microsoft.com/office/drawing/2014/main" id="{0DAF944D-84AB-FD1C-396B-D53E6A430447}"/>
            </a:ext>
          </a:extLst>
        </xdr:cNvPr>
        <xdr:cNvSpPr/>
      </xdr:nvSpPr>
      <xdr:spPr>
        <a:xfrm>
          <a:off x="2266950" y="3438525"/>
          <a:ext cx="3476625" cy="2724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390525</xdr:colOff>
      <xdr:row>10</xdr:row>
      <xdr:rowOff>57150</xdr:rowOff>
    </xdr:from>
    <xdr:to>
      <xdr:col>17</xdr:col>
      <xdr:colOff>552450</xdr:colOff>
      <xdr:row>32</xdr:row>
      <xdr:rowOff>95250</xdr:rowOff>
    </xdr:to>
    <xdr:sp macro="" textlink="">
      <xdr:nvSpPr>
        <xdr:cNvPr id="11" name="Rectangle 10">
          <a:extLst>
            <a:ext uri="{FF2B5EF4-FFF2-40B4-BE49-F238E27FC236}">
              <a16:creationId xmlns:a16="http://schemas.microsoft.com/office/drawing/2014/main" id="{688ACBAF-6CAC-728D-105E-C687070A0ABB}"/>
            </a:ext>
          </a:extLst>
        </xdr:cNvPr>
        <xdr:cNvSpPr/>
      </xdr:nvSpPr>
      <xdr:spPr>
        <a:xfrm>
          <a:off x="5876925" y="1962150"/>
          <a:ext cx="5038725" cy="422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123825</xdr:colOff>
      <xdr:row>0</xdr:row>
      <xdr:rowOff>161925</xdr:rowOff>
    </xdr:from>
    <xdr:to>
      <xdr:col>24</xdr:col>
      <xdr:colOff>457200</xdr:colOff>
      <xdr:row>9</xdr:row>
      <xdr:rowOff>9525</xdr:rowOff>
    </xdr:to>
    <xdr:sp macro="" textlink="">
      <xdr:nvSpPr>
        <xdr:cNvPr id="12" name="Rectangle 11">
          <a:extLst>
            <a:ext uri="{FF2B5EF4-FFF2-40B4-BE49-F238E27FC236}">
              <a16:creationId xmlns:a16="http://schemas.microsoft.com/office/drawing/2014/main" id="{1FE0CBD7-741B-5CA6-05E5-1E984FAB070F}"/>
            </a:ext>
          </a:extLst>
        </xdr:cNvPr>
        <xdr:cNvSpPr/>
      </xdr:nvSpPr>
      <xdr:spPr>
        <a:xfrm>
          <a:off x="11096625" y="161925"/>
          <a:ext cx="3990975" cy="1562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161925</xdr:colOff>
      <xdr:row>10</xdr:row>
      <xdr:rowOff>85725</xdr:rowOff>
    </xdr:from>
    <xdr:to>
      <xdr:col>24</xdr:col>
      <xdr:colOff>438150</xdr:colOff>
      <xdr:row>20</xdr:row>
      <xdr:rowOff>0</xdr:rowOff>
    </xdr:to>
    <xdr:sp macro="" textlink="">
      <xdr:nvSpPr>
        <xdr:cNvPr id="14" name="Rectangle 13">
          <a:extLst>
            <a:ext uri="{FF2B5EF4-FFF2-40B4-BE49-F238E27FC236}">
              <a16:creationId xmlns:a16="http://schemas.microsoft.com/office/drawing/2014/main" id="{C4158C3F-D6BD-459E-1DD8-75F2E9F7EC1E}"/>
            </a:ext>
          </a:extLst>
        </xdr:cNvPr>
        <xdr:cNvSpPr/>
      </xdr:nvSpPr>
      <xdr:spPr>
        <a:xfrm>
          <a:off x="11134725" y="1990725"/>
          <a:ext cx="3933825" cy="1819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114300</xdr:colOff>
      <xdr:row>21</xdr:row>
      <xdr:rowOff>38100</xdr:rowOff>
    </xdr:from>
    <xdr:to>
      <xdr:col>24</xdr:col>
      <xdr:colOff>419100</xdr:colOff>
      <xdr:row>32</xdr:row>
      <xdr:rowOff>104775</xdr:rowOff>
    </xdr:to>
    <xdr:sp macro="" textlink="">
      <xdr:nvSpPr>
        <xdr:cNvPr id="15" name="Rectangle 14">
          <a:extLst>
            <a:ext uri="{FF2B5EF4-FFF2-40B4-BE49-F238E27FC236}">
              <a16:creationId xmlns:a16="http://schemas.microsoft.com/office/drawing/2014/main" id="{0AA0B70E-E996-6C6D-3A12-FBAA8075AA14}"/>
            </a:ext>
          </a:extLst>
        </xdr:cNvPr>
        <xdr:cNvSpPr/>
      </xdr:nvSpPr>
      <xdr:spPr>
        <a:xfrm>
          <a:off x="11087100" y="4038600"/>
          <a:ext cx="3962400" cy="2162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390525</xdr:colOff>
      <xdr:row>10</xdr:row>
      <xdr:rowOff>38100</xdr:rowOff>
    </xdr:from>
    <xdr:to>
      <xdr:col>17</xdr:col>
      <xdr:colOff>552450</xdr:colOff>
      <xdr:row>32</xdr:row>
      <xdr:rowOff>85725</xdr:rowOff>
    </xdr:to>
    <xdr:graphicFrame macro="">
      <xdr:nvGraphicFramePr>
        <xdr:cNvPr id="16" name="Chart 15">
          <a:extLst>
            <a:ext uri="{FF2B5EF4-FFF2-40B4-BE49-F238E27FC236}">
              <a16:creationId xmlns:a16="http://schemas.microsoft.com/office/drawing/2014/main" id="{08667686-5858-44A7-83A3-196DA4505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76200</xdr:colOff>
      <xdr:row>21</xdr:row>
      <xdr:rowOff>0</xdr:rowOff>
    </xdr:from>
    <xdr:to>
      <xdr:col>24</xdr:col>
      <xdr:colOff>419100</xdr:colOff>
      <xdr:row>32</xdr:row>
      <xdr:rowOff>114300</xdr:rowOff>
    </xdr:to>
    <xdr:graphicFrame macro="">
      <xdr:nvGraphicFramePr>
        <xdr:cNvPr id="17" name="Chart 16">
          <a:extLst>
            <a:ext uri="{FF2B5EF4-FFF2-40B4-BE49-F238E27FC236}">
              <a16:creationId xmlns:a16="http://schemas.microsoft.com/office/drawing/2014/main" id="{2810F676-F456-4CB0-B189-5D142C312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104775</xdr:colOff>
      <xdr:row>0</xdr:row>
      <xdr:rowOff>133350</xdr:rowOff>
    </xdr:from>
    <xdr:to>
      <xdr:col>24</xdr:col>
      <xdr:colOff>438150</xdr:colOff>
      <xdr:row>9</xdr:row>
      <xdr:rowOff>38100</xdr:rowOff>
    </xdr:to>
    <xdr:graphicFrame macro="">
      <xdr:nvGraphicFramePr>
        <xdr:cNvPr id="18" name="Chart 17">
          <a:extLst>
            <a:ext uri="{FF2B5EF4-FFF2-40B4-BE49-F238E27FC236}">
              <a16:creationId xmlns:a16="http://schemas.microsoft.com/office/drawing/2014/main" id="{605EE2C8-458C-457A-8FB8-303077BB2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142875</xdr:colOff>
      <xdr:row>10</xdr:row>
      <xdr:rowOff>57150</xdr:rowOff>
    </xdr:from>
    <xdr:to>
      <xdr:col>24</xdr:col>
      <xdr:colOff>466724</xdr:colOff>
      <xdr:row>20</xdr:row>
      <xdr:rowOff>28576</xdr:rowOff>
    </xdr:to>
    <xdr:graphicFrame macro="">
      <xdr:nvGraphicFramePr>
        <xdr:cNvPr id="19" name="Chart 18">
          <a:extLst>
            <a:ext uri="{FF2B5EF4-FFF2-40B4-BE49-F238E27FC236}">
              <a16:creationId xmlns:a16="http://schemas.microsoft.com/office/drawing/2014/main" id="{A48F2A5B-6535-4733-BD59-688814252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409575</xdr:colOff>
      <xdr:row>17</xdr:row>
      <xdr:rowOff>180975</xdr:rowOff>
    </xdr:from>
    <xdr:to>
      <xdr:col>9</xdr:col>
      <xdr:colOff>247650</xdr:colOff>
      <xdr:row>32</xdr:row>
      <xdr:rowOff>57150</xdr:rowOff>
    </xdr:to>
    <xdr:graphicFrame macro="">
      <xdr:nvGraphicFramePr>
        <xdr:cNvPr id="21" name="Chart 20">
          <a:extLst>
            <a:ext uri="{FF2B5EF4-FFF2-40B4-BE49-F238E27FC236}">
              <a16:creationId xmlns:a16="http://schemas.microsoft.com/office/drawing/2014/main" id="{298FD488-9B5D-4266-811A-821209C5D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380999</xdr:colOff>
      <xdr:row>10</xdr:row>
      <xdr:rowOff>28576</xdr:rowOff>
    </xdr:from>
    <xdr:to>
      <xdr:col>9</xdr:col>
      <xdr:colOff>295275</xdr:colOff>
      <xdr:row>17</xdr:row>
      <xdr:rowOff>104776</xdr:rowOff>
    </xdr:to>
    <mc:AlternateContent xmlns:mc="http://schemas.openxmlformats.org/markup-compatibility/2006">
      <mc:Choice xmlns:tsle="http://schemas.microsoft.com/office/drawing/2012/timeslicer" Requires="tsle">
        <xdr:graphicFrame macro="">
          <xdr:nvGraphicFramePr>
            <xdr:cNvPr id="22" name="Date">
              <a:extLst>
                <a:ext uri="{FF2B5EF4-FFF2-40B4-BE49-F238E27FC236}">
                  <a16:creationId xmlns:a16="http://schemas.microsoft.com/office/drawing/2014/main" id="{208E1E9F-F88E-47F6-B26E-227033DCA8D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209799" y="1933576"/>
              <a:ext cx="3571876" cy="1409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400050</xdr:colOff>
      <xdr:row>0</xdr:row>
      <xdr:rowOff>171449</xdr:rowOff>
    </xdr:from>
    <xdr:to>
      <xdr:col>9</xdr:col>
      <xdr:colOff>209550</xdr:colOff>
      <xdr:row>9</xdr:row>
      <xdr:rowOff>104774</xdr:rowOff>
    </xdr:to>
    <mc:AlternateContent xmlns:mc="http://schemas.openxmlformats.org/markup-compatibility/2006">
      <mc:Choice xmlns:a14="http://schemas.microsoft.com/office/drawing/2010/main" Requires="a14">
        <xdr:graphicFrame macro="">
          <xdr:nvGraphicFramePr>
            <xdr:cNvPr id="24" name="Category 1">
              <a:extLst>
                <a:ext uri="{FF2B5EF4-FFF2-40B4-BE49-F238E27FC236}">
                  <a16:creationId xmlns:a16="http://schemas.microsoft.com/office/drawing/2014/main" id="{CE3EAE6F-1659-4C45-809F-19FCACCE445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28850" y="171449"/>
              <a:ext cx="34671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514350</xdr:colOff>
      <xdr:row>4</xdr:row>
      <xdr:rowOff>133350</xdr:rowOff>
    </xdr:from>
    <xdr:to>
      <xdr:col>11</xdr:col>
      <xdr:colOff>561975</xdr:colOff>
      <xdr:row>6</xdr:row>
      <xdr:rowOff>57150</xdr:rowOff>
    </xdr:to>
    <xdr:sp macro="" textlink="">
      <xdr:nvSpPr>
        <xdr:cNvPr id="26" name="TextBox 25">
          <a:extLst>
            <a:ext uri="{FF2B5EF4-FFF2-40B4-BE49-F238E27FC236}">
              <a16:creationId xmlns:a16="http://schemas.microsoft.com/office/drawing/2014/main" id="{14C3F09E-7ABC-5AFC-F6EE-EA7822C1880D}"/>
            </a:ext>
          </a:extLst>
        </xdr:cNvPr>
        <xdr:cNvSpPr txBox="1"/>
      </xdr:nvSpPr>
      <xdr:spPr>
        <a:xfrm>
          <a:off x="6000750" y="895350"/>
          <a:ext cx="1266825" cy="3048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Total Sales</a:t>
          </a:r>
        </a:p>
      </xdr:txBody>
    </xdr:sp>
    <xdr:clientData/>
  </xdr:twoCellAnchor>
  <xdr:twoCellAnchor>
    <xdr:from>
      <xdr:col>9</xdr:col>
      <xdr:colOff>514349</xdr:colOff>
      <xdr:row>6</xdr:row>
      <xdr:rowOff>171450</xdr:rowOff>
    </xdr:from>
    <xdr:to>
      <xdr:col>11</xdr:col>
      <xdr:colOff>561975</xdr:colOff>
      <xdr:row>8</xdr:row>
      <xdr:rowOff>66675</xdr:rowOff>
    </xdr:to>
    <xdr:sp macro="" textlink="">
      <xdr:nvSpPr>
        <xdr:cNvPr id="28" name="TextBox 27">
          <a:extLst>
            <a:ext uri="{FF2B5EF4-FFF2-40B4-BE49-F238E27FC236}">
              <a16:creationId xmlns:a16="http://schemas.microsoft.com/office/drawing/2014/main" id="{F1EA7252-0C0F-CFC4-0AF2-B14425DABB82}"/>
            </a:ext>
          </a:extLst>
        </xdr:cNvPr>
        <xdr:cNvSpPr txBox="1"/>
      </xdr:nvSpPr>
      <xdr:spPr>
        <a:xfrm>
          <a:off x="6000749" y="1314450"/>
          <a:ext cx="1266826"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7639824</a:t>
          </a:r>
        </a:p>
      </xdr:txBody>
    </xdr:sp>
    <xdr:clientData/>
  </xdr:twoCellAnchor>
  <xdr:oneCellAnchor>
    <xdr:from>
      <xdr:col>12</xdr:col>
      <xdr:colOff>304800</xdr:colOff>
      <xdr:row>5</xdr:row>
      <xdr:rowOff>9525</xdr:rowOff>
    </xdr:from>
    <xdr:ext cx="1409700" cy="264560"/>
    <xdr:sp macro="" textlink="">
      <xdr:nvSpPr>
        <xdr:cNvPr id="29" name="TextBox 28">
          <a:extLst>
            <a:ext uri="{FF2B5EF4-FFF2-40B4-BE49-F238E27FC236}">
              <a16:creationId xmlns:a16="http://schemas.microsoft.com/office/drawing/2014/main" id="{6F30A377-FED5-3689-D638-B502D0A7B3AA}"/>
            </a:ext>
          </a:extLst>
        </xdr:cNvPr>
        <xdr:cNvSpPr txBox="1"/>
      </xdr:nvSpPr>
      <xdr:spPr>
        <a:xfrm>
          <a:off x="7620000" y="962025"/>
          <a:ext cx="1409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12</xdr:col>
      <xdr:colOff>457200</xdr:colOff>
      <xdr:row>5</xdr:row>
      <xdr:rowOff>161925</xdr:rowOff>
    </xdr:from>
    <xdr:ext cx="1409700" cy="264560"/>
    <xdr:sp macro="" textlink="">
      <xdr:nvSpPr>
        <xdr:cNvPr id="30" name="TextBox 29">
          <a:extLst>
            <a:ext uri="{FF2B5EF4-FFF2-40B4-BE49-F238E27FC236}">
              <a16:creationId xmlns:a16="http://schemas.microsoft.com/office/drawing/2014/main" id="{93AAF257-7B45-4FBE-9CD0-E52A074CFAF6}"/>
            </a:ext>
          </a:extLst>
        </xdr:cNvPr>
        <xdr:cNvSpPr txBox="1"/>
      </xdr:nvSpPr>
      <xdr:spPr>
        <a:xfrm>
          <a:off x="7772400" y="1114425"/>
          <a:ext cx="1409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13</xdr:col>
      <xdr:colOff>0</xdr:colOff>
      <xdr:row>6</xdr:row>
      <xdr:rowOff>123825</xdr:rowOff>
    </xdr:from>
    <xdr:ext cx="1409700" cy="264560"/>
    <xdr:sp macro="" textlink="">
      <xdr:nvSpPr>
        <xdr:cNvPr id="31" name="TextBox 30">
          <a:extLst>
            <a:ext uri="{FF2B5EF4-FFF2-40B4-BE49-F238E27FC236}">
              <a16:creationId xmlns:a16="http://schemas.microsoft.com/office/drawing/2014/main" id="{F4E3F023-3836-43B3-BA6F-38E2BE842B54}"/>
            </a:ext>
          </a:extLst>
        </xdr:cNvPr>
        <xdr:cNvSpPr txBox="1"/>
      </xdr:nvSpPr>
      <xdr:spPr>
        <a:xfrm>
          <a:off x="7924800" y="1266825"/>
          <a:ext cx="1409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12</xdr:col>
      <xdr:colOff>314325</xdr:colOff>
      <xdr:row>4</xdr:row>
      <xdr:rowOff>142875</xdr:rowOff>
    </xdr:from>
    <xdr:ext cx="1409700" cy="264560"/>
    <xdr:sp macro="" textlink="">
      <xdr:nvSpPr>
        <xdr:cNvPr id="32" name="TextBox 31">
          <a:extLst>
            <a:ext uri="{FF2B5EF4-FFF2-40B4-BE49-F238E27FC236}">
              <a16:creationId xmlns:a16="http://schemas.microsoft.com/office/drawing/2014/main" id="{F070E9CE-9AD6-41DC-A101-BA41FC128D8E}"/>
            </a:ext>
          </a:extLst>
        </xdr:cNvPr>
        <xdr:cNvSpPr txBox="1"/>
      </xdr:nvSpPr>
      <xdr:spPr>
        <a:xfrm>
          <a:off x="7629525" y="904875"/>
          <a:ext cx="1409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12</xdr:col>
      <xdr:colOff>352425</xdr:colOff>
      <xdr:row>6</xdr:row>
      <xdr:rowOff>142875</xdr:rowOff>
    </xdr:from>
    <xdr:to>
      <xdr:col>14</xdr:col>
      <xdr:colOff>504825</xdr:colOff>
      <xdr:row>8</xdr:row>
      <xdr:rowOff>76200</xdr:rowOff>
    </xdr:to>
    <xdr:sp macro="" textlink="Sheet3!K6">
      <xdr:nvSpPr>
        <xdr:cNvPr id="33" name="TextBox 32">
          <a:extLst>
            <a:ext uri="{FF2B5EF4-FFF2-40B4-BE49-F238E27FC236}">
              <a16:creationId xmlns:a16="http://schemas.microsoft.com/office/drawing/2014/main" id="{368174A9-ECA4-D2AC-F589-D89BF27B0C6E}"/>
            </a:ext>
          </a:extLst>
        </xdr:cNvPr>
        <xdr:cNvSpPr txBox="1"/>
      </xdr:nvSpPr>
      <xdr:spPr>
        <a:xfrm>
          <a:off x="7667625" y="1285875"/>
          <a:ext cx="1371600" cy="3143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9CCA48-A388-419C-9613-11588BA9BBEF}" type="TxLink">
            <a:rPr lang="en-US" sz="1800" b="0" i="0" u="none" strike="noStrike">
              <a:solidFill>
                <a:schemeClr val="bg1"/>
              </a:solidFill>
              <a:latin typeface="Calibri"/>
              <a:ea typeface="Calibri"/>
              <a:cs typeface="Calibri"/>
            </a:rPr>
            <a:pPr algn="ctr"/>
            <a:t>323311.2</a:t>
          </a:fld>
          <a:endParaRPr lang="en-IN" sz="1800">
            <a:solidFill>
              <a:schemeClr val="bg1"/>
            </a:solidFill>
          </a:endParaRPr>
        </a:p>
      </xdr:txBody>
    </xdr:sp>
    <xdr:clientData/>
  </xdr:twoCellAnchor>
  <xdr:oneCellAnchor>
    <xdr:from>
      <xdr:col>12</xdr:col>
      <xdr:colOff>342900</xdr:colOff>
      <xdr:row>4</xdr:row>
      <xdr:rowOff>123825</xdr:rowOff>
    </xdr:from>
    <xdr:ext cx="1362075" cy="321710"/>
    <xdr:sp macro="" textlink="">
      <xdr:nvSpPr>
        <xdr:cNvPr id="34" name="TextBox 33">
          <a:extLst>
            <a:ext uri="{FF2B5EF4-FFF2-40B4-BE49-F238E27FC236}">
              <a16:creationId xmlns:a16="http://schemas.microsoft.com/office/drawing/2014/main" id="{4023D1F5-E251-2E25-CC04-2A09F14C612F}"/>
            </a:ext>
          </a:extLst>
        </xdr:cNvPr>
        <xdr:cNvSpPr txBox="1"/>
      </xdr:nvSpPr>
      <xdr:spPr>
        <a:xfrm>
          <a:off x="7658100" y="885825"/>
          <a:ext cx="1362075" cy="321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a:p>
          <a:endParaRPr lang="en-IN" sz="1100"/>
        </a:p>
      </xdr:txBody>
    </xdr:sp>
    <xdr:clientData/>
  </xdr:oneCellAnchor>
  <xdr:twoCellAnchor>
    <xdr:from>
      <xdr:col>15</xdr:col>
      <xdr:colOff>180974</xdr:colOff>
      <xdr:row>4</xdr:row>
      <xdr:rowOff>142875</xdr:rowOff>
    </xdr:from>
    <xdr:to>
      <xdr:col>17</xdr:col>
      <xdr:colOff>400049</xdr:colOff>
      <xdr:row>6</xdr:row>
      <xdr:rowOff>95250</xdr:rowOff>
    </xdr:to>
    <xdr:sp macro="" textlink="">
      <xdr:nvSpPr>
        <xdr:cNvPr id="35" name="TextBox 34">
          <a:extLst>
            <a:ext uri="{FF2B5EF4-FFF2-40B4-BE49-F238E27FC236}">
              <a16:creationId xmlns:a16="http://schemas.microsoft.com/office/drawing/2014/main" id="{1ACFC544-DEDB-E150-8700-ECD6142AF31B}"/>
            </a:ext>
          </a:extLst>
        </xdr:cNvPr>
        <xdr:cNvSpPr txBox="1"/>
      </xdr:nvSpPr>
      <xdr:spPr>
        <a:xfrm>
          <a:off x="9324974" y="904875"/>
          <a:ext cx="1438275" cy="3333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Total Qyt.</a:t>
          </a:r>
        </a:p>
      </xdr:txBody>
    </xdr:sp>
    <xdr:clientData/>
  </xdr:twoCellAnchor>
  <xdr:oneCellAnchor>
    <xdr:from>
      <xdr:col>12</xdr:col>
      <xdr:colOff>342900</xdr:colOff>
      <xdr:row>4</xdr:row>
      <xdr:rowOff>133350</xdr:rowOff>
    </xdr:from>
    <xdr:ext cx="1362075" cy="323850"/>
    <xdr:sp macro="" textlink="">
      <xdr:nvSpPr>
        <xdr:cNvPr id="36" name="TextBox 35">
          <a:extLst>
            <a:ext uri="{FF2B5EF4-FFF2-40B4-BE49-F238E27FC236}">
              <a16:creationId xmlns:a16="http://schemas.microsoft.com/office/drawing/2014/main" id="{D54AC75C-B261-4956-9131-D8A4D16F7C56}"/>
            </a:ext>
          </a:extLst>
        </xdr:cNvPr>
        <xdr:cNvSpPr txBox="1"/>
      </xdr:nvSpPr>
      <xdr:spPr>
        <a:xfrm>
          <a:off x="7658100" y="895350"/>
          <a:ext cx="1362075"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a:p>
          <a:endParaRPr lang="en-IN" sz="1100"/>
        </a:p>
      </xdr:txBody>
    </xdr:sp>
    <xdr:clientData/>
  </xdr:oneCellAnchor>
  <xdr:twoCellAnchor>
    <xdr:from>
      <xdr:col>15</xdr:col>
      <xdr:colOff>171450</xdr:colOff>
      <xdr:row>6</xdr:row>
      <xdr:rowOff>161925</xdr:rowOff>
    </xdr:from>
    <xdr:to>
      <xdr:col>17</xdr:col>
      <xdr:colOff>419099</xdr:colOff>
      <xdr:row>8</xdr:row>
      <xdr:rowOff>104775</xdr:rowOff>
    </xdr:to>
    <xdr:sp macro="" textlink="Sheet3!K7">
      <xdr:nvSpPr>
        <xdr:cNvPr id="37" name="TextBox 36">
          <a:extLst>
            <a:ext uri="{FF2B5EF4-FFF2-40B4-BE49-F238E27FC236}">
              <a16:creationId xmlns:a16="http://schemas.microsoft.com/office/drawing/2014/main" id="{B46E1348-753D-944C-9D13-F6A18BD8EA12}"/>
            </a:ext>
          </a:extLst>
        </xdr:cNvPr>
        <xdr:cNvSpPr txBox="1"/>
      </xdr:nvSpPr>
      <xdr:spPr>
        <a:xfrm>
          <a:off x="9315450" y="1304925"/>
          <a:ext cx="1466849" cy="3238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00FCAB-E594-4253-952B-EA47612BC547}" type="TxLink">
            <a:rPr lang="en-US" sz="1800" b="0" i="0" u="none" strike="noStrike">
              <a:solidFill>
                <a:schemeClr val="bg1"/>
              </a:solidFill>
              <a:latin typeface="Calibri"/>
              <a:ea typeface="Calibri"/>
              <a:cs typeface="Calibri"/>
            </a:rPr>
            <a:pPr algn="ctr"/>
            <a:t>348</a:t>
          </a:fld>
          <a:endParaRPr lang="en-IN" sz="1800">
            <a:solidFill>
              <a:schemeClr val="bg1"/>
            </a:solidFill>
          </a:endParaRPr>
        </a:p>
      </xdr:txBody>
    </xdr:sp>
    <xdr:clientData/>
  </xdr:twoCellAnchor>
  <xdr:oneCellAnchor>
    <xdr:from>
      <xdr:col>12</xdr:col>
      <xdr:colOff>342900</xdr:colOff>
      <xdr:row>4</xdr:row>
      <xdr:rowOff>133350</xdr:rowOff>
    </xdr:from>
    <xdr:ext cx="1362075" cy="285750"/>
    <xdr:sp macro="" textlink="">
      <xdr:nvSpPr>
        <xdr:cNvPr id="38" name="TextBox 37">
          <a:extLst>
            <a:ext uri="{FF2B5EF4-FFF2-40B4-BE49-F238E27FC236}">
              <a16:creationId xmlns:a16="http://schemas.microsoft.com/office/drawing/2014/main" id="{E6FC133C-37C7-487C-8646-F9A6FCD3A425}"/>
            </a:ext>
          </a:extLst>
        </xdr:cNvPr>
        <xdr:cNvSpPr txBox="1"/>
      </xdr:nvSpPr>
      <xdr:spPr>
        <a:xfrm>
          <a:off x="7658100" y="895350"/>
          <a:ext cx="1362075"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12</xdr:col>
      <xdr:colOff>342900</xdr:colOff>
      <xdr:row>4</xdr:row>
      <xdr:rowOff>133350</xdr:rowOff>
    </xdr:from>
    <xdr:ext cx="1409700" cy="323850"/>
    <xdr:sp macro="" textlink="">
      <xdr:nvSpPr>
        <xdr:cNvPr id="39" name="TextBox 38">
          <a:extLst>
            <a:ext uri="{FF2B5EF4-FFF2-40B4-BE49-F238E27FC236}">
              <a16:creationId xmlns:a16="http://schemas.microsoft.com/office/drawing/2014/main" id="{22A7785B-9BBA-4F68-B06B-30A708E8CA47}"/>
            </a:ext>
          </a:extLst>
        </xdr:cNvPr>
        <xdr:cNvSpPr txBox="1"/>
      </xdr:nvSpPr>
      <xdr:spPr>
        <a:xfrm>
          <a:off x="7658100" y="895350"/>
          <a:ext cx="1409700"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12</xdr:col>
      <xdr:colOff>342900</xdr:colOff>
      <xdr:row>4</xdr:row>
      <xdr:rowOff>133350</xdr:rowOff>
    </xdr:from>
    <xdr:ext cx="1409700" cy="264560"/>
    <xdr:sp macro="" textlink="">
      <xdr:nvSpPr>
        <xdr:cNvPr id="40" name="TextBox 39">
          <a:extLst>
            <a:ext uri="{FF2B5EF4-FFF2-40B4-BE49-F238E27FC236}">
              <a16:creationId xmlns:a16="http://schemas.microsoft.com/office/drawing/2014/main" id="{64FFC99C-9096-4C32-B968-1F41BF3DA294}"/>
            </a:ext>
          </a:extLst>
        </xdr:cNvPr>
        <xdr:cNvSpPr txBox="1"/>
      </xdr:nvSpPr>
      <xdr:spPr>
        <a:xfrm>
          <a:off x="7658100" y="895350"/>
          <a:ext cx="1409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12</xdr:col>
      <xdr:colOff>342901</xdr:colOff>
      <xdr:row>4</xdr:row>
      <xdr:rowOff>133350</xdr:rowOff>
    </xdr:from>
    <xdr:to>
      <xdr:col>14</xdr:col>
      <xdr:colOff>485775</xdr:colOff>
      <xdr:row>6</xdr:row>
      <xdr:rowOff>38100</xdr:rowOff>
    </xdr:to>
    <xdr:sp macro="" textlink="">
      <xdr:nvSpPr>
        <xdr:cNvPr id="42" name="TextBox 41">
          <a:extLst>
            <a:ext uri="{FF2B5EF4-FFF2-40B4-BE49-F238E27FC236}">
              <a16:creationId xmlns:a16="http://schemas.microsoft.com/office/drawing/2014/main" id="{6F589518-7B4F-C984-F289-571F10AA66A8}"/>
            </a:ext>
          </a:extLst>
        </xdr:cNvPr>
        <xdr:cNvSpPr txBox="1"/>
      </xdr:nvSpPr>
      <xdr:spPr>
        <a:xfrm>
          <a:off x="7658101" y="895350"/>
          <a:ext cx="1362074" cy="2857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Total</a:t>
          </a:r>
          <a:r>
            <a:rPr lang="en-IN" sz="1800" baseline="0">
              <a:solidFill>
                <a:schemeClr val="bg1"/>
              </a:solidFill>
            </a:rPr>
            <a:t> Profit</a:t>
          </a:r>
          <a:endParaRPr lang="en-IN" sz="1800">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Jay%20Dashboard%20Task%20(3)%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s"/>
      <sheetName val="Dashboard"/>
      <sheetName val="Sheet3"/>
      <sheetName val="Sheet1"/>
      <sheetName val="Sales Data"/>
      <sheetName val="Sheet2"/>
    </sheetNames>
    <sheetDataSet>
      <sheetData sheetId="0" refreshError="1"/>
      <sheetData sheetId="1" refreshError="1"/>
      <sheetData sheetId="2" refreshError="1"/>
      <sheetData sheetId="3"/>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ownloads/Jay%20Dashboard%20Task%20(3)%20(1).xls"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09.47663391204" createdVersion="4" refreshedVersion="4" minRefreshableVersion="3" recordCount="300" xr:uid="{AC6BBA9B-4C62-4C32-8D19-FC84F83DBE53}">
  <cacheSource type="worksheet">
    <worksheetSource name="sales_data_large" r:id="rId2"/>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0">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ount="300">
        <n v="2775"/>
        <n v="524.4"/>
        <n v="9951.2000000000007"/>
        <n v="8361.7999999999993"/>
        <n v="3545"/>
        <n v="8352"/>
        <n v="3329.2"/>
        <n v="3605.8"/>
        <n v="6080.4"/>
        <n v="1052.5999999999999"/>
        <n v="6397.4"/>
        <n v="9565.6"/>
        <n v="9784.7999999999993"/>
        <n v="1929.2"/>
        <n v="5705.8"/>
        <n v="2532.8000000000002"/>
        <n v="7347.4"/>
        <n v="7359.2"/>
        <n v="5005.3999999999996"/>
        <n v="6074.6"/>
        <n v="7479.4"/>
        <n v="4321.8"/>
        <n v="7367"/>
        <n v="7941.8"/>
        <n v="4050"/>
        <n v="4434.3999999999996"/>
        <n v="2511"/>
        <n v="4574.8"/>
        <n v="2816.2"/>
        <n v="5012.6000000000004"/>
        <n v="1563.8"/>
        <n v="5342.4"/>
        <n v="5152.3999999999996"/>
        <n v="2409.1999999999998"/>
        <n v="6492.6"/>
        <n v="5953.8"/>
        <n v="4830"/>
        <n v="742.2"/>
        <n v="1170.5999999999999"/>
        <n v="6015.4"/>
        <n v="4972.6000000000004"/>
        <n v="4558.3999999999996"/>
        <n v="8296.6"/>
        <n v="1988.4"/>
        <n v="9855"/>
        <n v="9918.7999999999993"/>
        <n v="552.4"/>
        <n v="6597.4"/>
        <n v="3370"/>
        <n v="2622.4"/>
        <n v="5011.6000000000004"/>
        <n v="9284"/>
        <n v="7978"/>
        <n v="296.2"/>
        <n v="9660.7999999999993"/>
        <n v="6784.2"/>
        <n v="8277"/>
        <n v="504.8"/>
        <n v="7177.6"/>
        <n v="3209.6"/>
        <n v="7222.2"/>
        <n v="7780.8"/>
        <n v="7001.6"/>
        <n v="212"/>
        <n v="2026"/>
        <n v="3804.6"/>
        <n v="9216"/>
        <n v="2870"/>
        <n v="5070.8"/>
        <n v="9237.2000000000007"/>
        <n v="5829"/>
        <n v="7004"/>
        <n v="4317.3999999999996"/>
        <n v="8426.2000000000007"/>
        <n v="2130"/>
        <n v="4186.6000000000004"/>
        <n v="4316.2"/>
        <n v="4878.6000000000004"/>
        <n v="4810.2"/>
        <n v="5442.4"/>
        <n v="1018"/>
        <n v="1592"/>
        <n v="7354.4"/>
        <n v="4504"/>
        <n v="7481.6"/>
        <n v="5894"/>
        <n v="4298.2"/>
        <n v="468.2"/>
        <n v="9124.6"/>
        <n v="5158.2"/>
        <n v="267.60000000000002"/>
        <n v="1379"/>
        <n v="2650.8"/>
        <n v="2468.8000000000002"/>
        <n v="550"/>
        <n v="684.2"/>
        <n v="8177.4"/>
        <n v="1263.8"/>
        <n v="3379.2"/>
        <n v="2583.6"/>
        <n v="5212.8"/>
        <n v="9523.4"/>
        <n v="5787"/>
        <n v="7728.2"/>
        <n v="6142.2"/>
        <n v="1161.2"/>
        <n v="8472"/>
        <n v="2636.4"/>
        <n v="4659.3999999999996"/>
        <n v="4108.2"/>
        <n v="5984.2"/>
        <n v="3554.8"/>
        <n v="9162.6"/>
        <n v="7639.6"/>
        <n v="1964"/>
        <n v="5014"/>
        <n v="1046.4000000000001"/>
        <n v="2424.4"/>
        <n v="3204.6"/>
        <n v="1801.4"/>
        <n v="3781"/>
        <n v="8557.2000000000007"/>
        <n v="6079.6"/>
        <n v="7053.6"/>
        <n v="1547.4"/>
        <n v="7412.4"/>
        <n v="5302"/>
        <n v="4085.2"/>
        <n v="7653"/>
        <n v="3770"/>
        <n v="322.8"/>
        <n v="4555.2"/>
        <n v="5015.3999999999996"/>
        <n v="2074.8000000000002"/>
        <n v="7287"/>
        <n v="6381.4"/>
        <n v="2881.8"/>
        <n v="3502.8"/>
        <n v="6173.2"/>
        <n v="796.6"/>
        <n v="6541"/>
        <n v="4332.3999999999996"/>
        <n v="4902"/>
        <n v="2730.2"/>
        <n v="8399.6"/>
        <n v="5907"/>
        <n v="1528"/>
        <n v="9109.4"/>
        <n v="3263.4"/>
        <n v="1712.8"/>
        <n v="5669"/>
        <n v="9857.6"/>
        <n v="5937.4"/>
        <n v="2947.4"/>
        <n v="2064.6"/>
        <n v="3245.8"/>
        <n v="9096.2000000000007"/>
        <n v="1900.4"/>
        <n v="309"/>
        <n v="7622.8"/>
        <n v="6086"/>
        <n v="2199.1999999999998"/>
        <n v="5757.6"/>
        <n v="6193.8"/>
        <n v="9908.6"/>
        <n v="2983.8"/>
        <n v="962"/>
        <n v="6317.2"/>
        <n v="8194.7999999999993"/>
        <n v="8554.6"/>
        <n v="3474.2"/>
        <n v="9216.7999999999993"/>
        <n v="6125.8"/>
        <n v="1887.2"/>
        <n v="2796.8"/>
        <n v="6807.8"/>
        <n v="4179"/>
        <n v="3831"/>
        <n v="2323.1999999999998"/>
        <n v="7625.8"/>
        <n v="8167.4"/>
        <n v="5114.8"/>
        <n v="886"/>
        <n v="2735.2"/>
        <n v="2363.1999999999998"/>
        <n v="6746.6"/>
        <n v="4228.8"/>
        <n v="610"/>
        <n v="9092"/>
        <n v="6986.6"/>
        <n v="5190.2"/>
        <n v="6682.6"/>
        <n v="7160.2"/>
        <n v="6782.6"/>
        <n v="9607.4"/>
        <n v="8320"/>
        <n v="5256"/>
        <n v="5111.3999999999996"/>
        <n v="9610.7999999999993"/>
        <n v="7280"/>
        <n v="1098.8"/>
        <n v="3230.4"/>
        <n v="4979"/>
        <n v="2031"/>
        <n v="6576.6"/>
        <n v="8838.7999999999993"/>
        <n v="8800.2000000000007"/>
        <n v="565.6"/>
        <n v="9205.6"/>
        <n v="8579.6"/>
        <n v="6624.6"/>
        <n v="7714.6"/>
        <n v="361.2"/>
        <n v="8394"/>
        <n v="6151.4"/>
        <n v="7127.2"/>
        <n v="3112.2"/>
        <n v="9856"/>
        <n v="5052.3999999999996"/>
        <n v="3179.8"/>
        <n v="9997.6"/>
        <n v="3386.8"/>
        <n v="7839.4"/>
        <n v="8568.7999999999993"/>
        <n v="7466.4"/>
        <n v="7031.4"/>
        <n v="2518.6"/>
        <n v="8208.4"/>
        <n v="3664"/>
        <n v="5675.2"/>
        <n v="8902.6"/>
        <n v="3039.8"/>
        <n v="3375.2"/>
        <n v="1849"/>
        <n v="1642.8"/>
        <n v="345.2"/>
        <n v="9520"/>
        <n v="2472.4"/>
        <n v="3859.4"/>
        <n v="6289.6"/>
        <n v="5434.4"/>
        <n v="8774.7999999999993"/>
        <n v="1731.4"/>
        <n v="3970"/>
        <n v="5285"/>
        <n v="5537"/>
        <n v="9663.7999999999993"/>
        <n v="5115.6000000000004"/>
        <n v="5966.2"/>
        <n v="1781.2"/>
        <n v="1657.4"/>
        <n v="6932"/>
        <n v="2244.4"/>
        <n v="7688.6"/>
        <n v="7140.2"/>
        <n v="3752.8"/>
        <n v="9128.2000000000007"/>
        <n v="3734.8"/>
        <n v="3804.8"/>
        <n v="9401.4"/>
        <n v="4974.8"/>
        <n v="8928.4"/>
        <n v="6656.8"/>
        <n v="3720.4"/>
        <n v="7756.8"/>
        <n v="4853"/>
        <n v="5386.2"/>
        <n v="5968.2"/>
        <n v="6038.4"/>
        <n v="9508.4"/>
        <n v="8704"/>
        <n v="3317"/>
        <n v="5311.8"/>
        <n v="8211.7999999999993"/>
        <n v="6948.4"/>
        <n v="1026.5999999999999"/>
        <n v="3132.6"/>
        <n v="4550.8"/>
        <n v="994.4"/>
        <n v="1259"/>
        <n v="9536.2000000000007"/>
        <n v="8574.6"/>
        <n v="6025"/>
        <n v="8399.2000000000007"/>
        <n v="2180.6"/>
        <n v="804"/>
        <n v="8551"/>
        <n v="4284"/>
        <n v="4490.3999999999996"/>
        <n v="9329.6"/>
        <n v="7800.2"/>
        <n v="2103.1999999999998"/>
        <n v="9665.4"/>
        <n v="679.2"/>
        <n v="3909.2"/>
        <n v="4025.8"/>
        <n v="518.20000000000005"/>
        <n v="2460.6"/>
        <n v="6312.2"/>
        <n v="1436.6"/>
      </sharedItems>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774163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x v="0"/>
    <x v="0"/>
  </r>
  <r>
    <n v="102"/>
    <s v="Sneha"/>
    <x v="1"/>
    <x v="1"/>
    <x v="1"/>
    <n v="6"/>
    <n v="2622"/>
    <x v="1"/>
    <x v="1"/>
    <x v="1"/>
  </r>
  <r>
    <n v="103"/>
    <s v="Anita"/>
    <x v="0"/>
    <x v="2"/>
    <x v="2"/>
    <n v="5"/>
    <n v="49756"/>
    <x v="2"/>
    <x v="2"/>
    <x v="2"/>
  </r>
  <r>
    <n v="104"/>
    <s v="Karan"/>
    <x v="0"/>
    <x v="3"/>
    <x v="3"/>
    <n v="4"/>
    <n v="41809"/>
    <x v="3"/>
    <x v="3"/>
    <x v="3"/>
  </r>
  <r>
    <n v="105"/>
    <s v="Vikas"/>
    <x v="2"/>
    <x v="2"/>
    <x v="2"/>
    <n v="3"/>
    <n v="17725"/>
    <x v="4"/>
    <x v="4"/>
    <x v="4"/>
  </r>
  <r>
    <n v="106"/>
    <s v="Neha"/>
    <x v="0"/>
    <x v="3"/>
    <x v="0"/>
    <n v="1"/>
    <n v="41760"/>
    <x v="5"/>
    <x v="5"/>
    <x v="5"/>
  </r>
  <r>
    <n v="107"/>
    <s v="Ravi"/>
    <x v="3"/>
    <x v="0"/>
    <x v="0"/>
    <n v="6"/>
    <n v="16646"/>
    <x v="6"/>
    <x v="6"/>
    <x v="6"/>
  </r>
  <r>
    <n v="108"/>
    <s v="Vikas"/>
    <x v="3"/>
    <x v="3"/>
    <x v="0"/>
    <n v="2"/>
    <n v="18029"/>
    <x v="7"/>
    <x v="7"/>
    <x v="7"/>
  </r>
  <r>
    <n v="109"/>
    <s v="Anita"/>
    <x v="1"/>
    <x v="0"/>
    <x v="4"/>
    <n v="8"/>
    <n v="30402"/>
    <x v="8"/>
    <x v="8"/>
    <x v="8"/>
  </r>
  <r>
    <n v="110"/>
    <s v="Karan"/>
    <x v="0"/>
    <x v="3"/>
    <x v="4"/>
    <n v="5"/>
    <n v="5263"/>
    <x v="9"/>
    <x v="9"/>
    <x v="9"/>
  </r>
  <r>
    <n v="111"/>
    <s v="Sneha"/>
    <x v="1"/>
    <x v="0"/>
    <x v="5"/>
    <n v="7"/>
    <n v="31987"/>
    <x v="10"/>
    <x v="10"/>
    <x v="10"/>
  </r>
  <r>
    <n v="112"/>
    <s v="Anita"/>
    <x v="3"/>
    <x v="3"/>
    <x v="5"/>
    <n v="2"/>
    <n v="47828"/>
    <x v="11"/>
    <x v="11"/>
    <x v="11"/>
  </r>
  <r>
    <n v="113"/>
    <s v="Anita"/>
    <x v="0"/>
    <x v="1"/>
    <x v="0"/>
    <n v="8"/>
    <n v="48924"/>
    <x v="12"/>
    <x v="12"/>
    <x v="12"/>
  </r>
  <r>
    <n v="114"/>
    <s v="Ravi"/>
    <x v="0"/>
    <x v="3"/>
    <x v="1"/>
    <n v="2"/>
    <n v="9646"/>
    <x v="13"/>
    <x v="13"/>
    <x v="13"/>
  </r>
  <r>
    <n v="115"/>
    <s v="Pooja"/>
    <x v="1"/>
    <x v="3"/>
    <x v="6"/>
    <n v="4"/>
    <n v="28529"/>
    <x v="14"/>
    <x v="14"/>
    <x v="14"/>
  </r>
  <r>
    <n v="116"/>
    <s v="Karan"/>
    <x v="3"/>
    <x v="1"/>
    <x v="4"/>
    <n v="1"/>
    <n v="12664"/>
    <x v="15"/>
    <x v="15"/>
    <x v="15"/>
  </r>
  <r>
    <n v="117"/>
    <s v="Priya"/>
    <x v="0"/>
    <x v="2"/>
    <x v="1"/>
    <n v="5"/>
    <n v="36737"/>
    <x v="16"/>
    <x v="16"/>
    <x v="16"/>
  </r>
  <r>
    <n v="118"/>
    <s v="Anita"/>
    <x v="1"/>
    <x v="2"/>
    <x v="7"/>
    <n v="9"/>
    <n v="36796"/>
    <x v="17"/>
    <x v="17"/>
    <x v="17"/>
  </r>
  <r>
    <n v="119"/>
    <s v="Pooja"/>
    <x v="3"/>
    <x v="3"/>
    <x v="4"/>
    <n v="1"/>
    <n v="25027"/>
    <x v="18"/>
    <x v="18"/>
    <x v="18"/>
  </r>
  <r>
    <n v="120"/>
    <s v="Priya"/>
    <x v="1"/>
    <x v="1"/>
    <x v="4"/>
    <n v="9"/>
    <n v="30373"/>
    <x v="19"/>
    <x v="19"/>
    <x v="19"/>
  </r>
  <r>
    <n v="121"/>
    <s v="Karan"/>
    <x v="2"/>
    <x v="3"/>
    <x v="5"/>
    <n v="8"/>
    <n v="37397"/>
    <x v="20"/>
    <x v="20"/>
    <x v="20"/>
  </r>
  <r>
    <n v="122"/>
    <s v="Amit"/>
    <x v="0"/>
    <x v="0"/>
    <x v="6"/>
    <n v="6"/>
    <n v="21609"/>
    <x v="21"/>
    <x v="21"/>
    <x v="21"/>
  </r>
  <r>
    <n v="123"/>
    <s v="Neha"/>
    <x v="2"/>
    <x v="0"/>
    <x v="6"/>
    <n v="7"/>
    <n v="36835"/>
    <x v="22"/>
    <x v="22"/>
    <x v="22"/>
  </r>
  <r>
    <n v="124"/>
    <s v="Pooja"/>
    <x v="3"/>
    <x v="3"/>
    <x v="3"/>
    <n v="3"/>
    <n v="39709"/>
    <x v="23"/>
    <x v="23"/>
    <x v="23"/>
  </r>
  <r>
    <n v="125"/>
    <s v="Deepak"/>
    <x v="2"/>
    <x v="2"/>
    <x v="2"/>
    <n v="1"/>
    <n v="20250"/>
    <x v="24"/>
    <x v="24"/>
    <x v="24"/>
  </r>
  <r>
    <n v="126"/>
    <s v="Amit"/>
    <x v="2"/>
    <x v="2"/>
    <x v="2"/>
    <n v="5"/>
    <n v="22172"/>
    <x v="25"/>
    <x v="25"/>
    <x v="25"/>
  </r>
  <r>
    <n v="127"/>
    <s v="Neha"/>
    <x v="3"/>
    <x v="3"/>
    <x v="2"/>
    <n v="2"/>
    <n v="12555"/>
    <x v="26"/>
    <x v="26"/>
    <x v="26"/>
  </r>
  <r>
    <n v="128"/>
    <s v="Ravi"/>
    <x v="1"/>
    <x v="3"/>
    <x v="2"/>
    <n v="5"/>
    <n v="22874"/>
    <x v="27"/>
    <x v="27"/>
    <x v="27"/>
  </r>
  <r>
    <n v="129"/>
    <s v="Vikas"/>
    <x v="2"/>
    <x v="0"/>
    <x v="7"/>
    <n v="8"/>
    <n v="14081"/>
    <x v="28"/>
    <x v="28"/>
    <x v="28"/>
  </r>
  <r>
    <n v="130"/>
    <s v="Sneha"/>
    <x v="1"/>
    <x v="2"/>
    <x v="7"/>
    <n v="9"/>
    <n v="25063"/>
    <x v="29"/>
    <x v="29"/>
    <x v="29"/>
  </r>
  <r>
    <n v="131"/>
    <s v="Deepak"/>
    <x v="2"/>
    <x v="3"/>
    <x v="4"/>
    <n v="2"/>
    <n v="7819"/>
    <x v="30"/>
    <x v="30"/>
    <x v="30"/>
  </r>
  <r>
    <n v="132"/>
    <s v="Ravi"/>
    <x v="1"/>
    <x v="0"/>
    <x v="0"/>
    <n v="3"/>
    <n v="26712"/>
    <x v="31"/>
    <x v="31"/>
    <x v="31"/>
  </r>
  <r>
    <n v="133"/>
    <s v="Karan"/>
    <x v="3"/>
    <x v="2"/>
    <x v="5"/>
    <n v="3"/>
    <n v="25762"/>
    <x v="32"/>
    <x v="32"/>
    <x v="32"/>
  </r>
  <r>
    <n v="134"/>
    <s v="Ravi"/>
    <x v="2"/>
    <x v="1"/>
    <x v="5"/>
    <n v="1"/>
    <n v="12046"/>
    <x v="33"/>
    <x v="33"/>
    <x v="33"/>
  </r>
  <r>
    <n v="135"/>
    <s v="Vikas"/>
    <x v="3"/>
    <x v="0"/>
    <x v="2"/>
    <n v="8"/>
    <n v="32463"/>
    <x v="34"/>
    <x v="34"/>
    <x v="34"/>
  </r>
  <r>
    <n v="136"/>
    <s v="Karan"/>
    <x v="2"/>
    <x v="2"/>
    <x v="4"/>
    <n v="6"/>
    <n v="29769"/>
    <x v="35"/>
    <x v="35"/>
    <x v="35"/>
  </r>
  <r>
    <n v="137"/>
    <s v="Deepak"/>
    <x v="3"/>
    <x v="2"/>
    <x v="3"/>
    <n v="8"/>
    <n v="24150"/>
    <x v="36"/>
    <x v="36"/>
    <x v="36"/>
  </r>
  <r>
    <n v="138"/>
    <s v="Vikas"/>
    <x v="3"/>
    <x v="0"/>
    <x v="1"/>
    <n v="9"/>
    <n v="3711"/>
    <x v="37"/>
    <x v="37"/>
    <x v="37"/>
  </r>
  <r>
    <n v="139"/>
    <s v="Priya"/>
    <x v="2"/>
    <x v="1"/>
    <x v="0"/>
    <n v="5"/>
    <n v="5853"/>
    <x v="38"/>
    <x v="38"/>
    <x v="38"/>
  </r>
  <r>
    <n v="140"/>
    <s v="Sneha"/>
    <x v="2"/>
    <x v="0"/>
    <x v="4"/>
    <n v="3"/>
    <n v="30077"/>
    <x v="39"/>
    <x v="39"/>
    <x v="39"/>
  </r>
  <r>
    <n v="141"/>
    <s v="Deepak"/>
    <x v="2"/>
    <x v="2"/>
    <x v="0"/>
    <n v="5"/>
    <n v="24863"/>
    <x v="40"/>
    <x v="40"/>
    <x v="40"/>
  </r>
  <r>
    <n v="142"/>
    <s v="Priya"/>
    <x v="0"/>
    <x v="3"/>
    <x v="0"/>
    <n v="5"/>
    <n v="22792"/>
    <x v="41"/>
    <x v="41"/>
    <x v="41"/>
  </r>
  <r>
    <n v="143"/>
    <s v="Neha"/>
    <x v="1"/>
    <x v="3"/>
    <x v="0"/>
    <n v="5"/>
    <n v="41483"/>
    <x v="42"/>
    <x v="42"/>
    <x v="42"/>
  </r>
  <r>
    <n v="144"/>
    <s v="Deepak"/>
    <x v="0"/>
    <x v="0"/>
    <x v="4"/>
    <n v="3"/>
    <n v="9942"/>
    <x v="43"/>
    <x v="43"/>
    <x v="43"/>
  </r>
  <r>
    <n v="145"/>
    <s v="Neha"/>
    <x v="0"/>
    <x v="2"/>
    <x v="2"/>
    <n v="4"/>
    <n v="49275"/>
    <x v="44"/>
    <x v="44"/>
    <x v="44"/>
  </r>
  <r>
    <n v="146"/>
    <s v="Karan"/>
    <x v="3"/>
    <x v="3"/>
    <x v="5"/>
    <n v="9"/>
    <n v="49594"/>
    <x v="45"/>
    <x v="45"/>
    <x v="45"/>
  </r>
  <r>
    <n v="147"/>
    <s v="Priya"/>
    <x v="2"/>
    <x v="2"/>
    <x v="5"/>
    <n v="9"/>
    <n v="2762"/>
    <x v="46"/>
    <x v="46"/>
    <x v="46"/>
  </r>
  <r>
    <n v="148"/>
    <s v="Sneha"/>
    <x v="1"/>
    <x v="0"/>
    <x v="2"/>
    <n v="2"/>
    <n v="32987"/>
    <x v="47"/>
    <x v="47"/>
    <x v="47"/>
  </r>
  <r>
    <n v="149"/>
    <s v="Vikas"/>
    <x v="3"/>
    <x v="3"/>
    <x v="0"/>
    <n v="8"/>
    <n v="16850"/>
    <x v="48"/>
    <x v="48"/>
    <x v="48"/>
  </r>
  <r>
    <n v="150"/>
    <s v="Anita"/>
    <x v="0"/>
    <x v="2"/>
    <x v="1"/>
    <n v="8"/>
    <n v="13112"/>
    <x v="49"/>
    <x v="49"/>
    <x v="49"/>
  </r>
  <r>
    <n v="151"/>
    <s v="Ravi"/>
    <x v="2"/>
    <x v="3"/>
    <x v="6"/>
    <n v="7"/>
    <n v="25058"/>
    <x v="50"/>
    <x v="50"/>
    <x v="50"/>
  </r>
  <r>
    <n v="152"/>
    <s v="Amit"/>
    <x v="3"/>
    <x v="0"/>
    <x v="4"/>
    <n v="8"/>
    <n v="46420"/>
    <x v="51"/>
    <x v="51"/>
    <x v="51"/>
  </r>
  <r>
    <n v="153"/>
    <s v="Sneha"/>
    <x v="2"/>
    <x v="2"/>
    <x v="6"/>
    <n v="3"/>
    <n v="39890"/>
    <x v="52"/>
    <x v="52"/>
    <x v="52"/>
  </r>
  <r>
    <n v="154"/>
    <s v="Priya"/>
    <x v="3"/>
    <x v="3"/>
    <x v="3"/>
    <n v="6"/>
    <n v="1481"/>
    <x v="53"/>
    <x v="53"/>
    <x v="53"/>
  </r>
  <r>
    <n v="155"/>
    <s v="Anita"/>
    <x v="2"/>
    <x v="0"/>
    <x v="2"/>
    <n v="1"/>
    <n v="48304"/>
    <x v="54"/>
    <x v="54"/>
    <x v="54"/>
  </r>
  <r>
    <n v="156"/>
    <s v="Sneha"/>
    <x v="0"/>
    <x v="3"/>
    <x v="1"/>
    <n v="7"/>
    <n v="33921"/>
    <x v="55"/>
    <x v="55"/>
    <x v="55"/>
  </r>
  <r>
    <n v="157"/>
    <s v="Priya"/>
    <x v="1"/>
    <x v="3"/>
    <x v="4"/>
    <n v="1"/>
    <n v="41385"/>
    <x v="56"/>
    <x v="56"/>
    <x v="56"/>
  </r>
  <r>
    <n v="158"/>
    <s v="Pooja"/>
    <x v="0"/>
    <x v="1"/>
    <x v="2"/>
    <n v="9"/>
    <n v="2524"/>
    <x v="57"/>
    <x v="57"/>
    <x v="57"/>
  </r>
  <r>
    <n v="159"/>
    <s v="Pooja"/>
    <x v="1"/>
    <x v="1"/>
    <x v="0"/>
    <n v="1"/>
    <n v="35888"/>
    <x v="58"/>
    <x v="58"/>
    <x v="58"/>
  </r>
  <r>
    <n v="160"/>
    <s v="Neha"/>
    <x v="2"/>
    <x v="0"/>
    <x v="5"/>
    <n v="1"/>
    <n v="16048"/>
    <x v="59"/>
    <x v="59"/>
    <x v="59"/>
  </r>
  <r>
    <n v="161"/>
    <s v="Sneha"/>
    <x v="3"/>
    <x v="1"/>
    <x v="6"/>
    <n v="7"/>
    <n v="36111"/>
    <x v="60"/>
    <x v="60"/>
    <x v="60"/>
  </r>
  <r>
    <n v="162"/>
    <s v="Pooja"/>
    <x v="0"/>
    <x v="0"/>
    <x v="7"/>
    <n v="2"/>
    <n v="38904"/>
    <x v="61"/>
    <x v="61"/>
    <x v="61"/>
  </r>
  <r>
    <n v="163"/>
    <s v="Priya"/>
    <x v="1"/>
    <x v="1"/>
    <x v="7"/>
    <n v="5"/>
    <n v="35008"/>
    <x v="62"/>
    <x v="62"/>
    <x v="62"/>
  </r>
  <r>
    <n v="164"/>
    <s v="Neha"/>
    <x v="0"/>
    <x v="3"/>
    <x v="1"/>
    <n v="8"/>
    <n v="1060"/>
    <x v="63"/>
    <x v="63"/>
    <x v="63"/>
  </r>
  <r>
    <n v="165"/>
    <s v="Priya"/>
    <x v="1"/>
    <x v="0"/>
    <x v="0"/>
    <n v="8"/>
    <n v="10130"/>
    <x v="64"/>
    <x v="64"/>
    <x v="64"/>
  </r>
  <r>
    <n v="166"/>
    <s v="Neha"/>
    <x v="0"/>
    <x v="0"/>
    <x v="3"/>
    <n v="3"/>
    <n v="19023"/>
    <x v="65"/>
    <x v="65"/>
    <x v="65"/>
  </r>
  <r>
    <n v="167"/>
    <s v="Sneha"/>
    <x v="1"/>
    <x v="3"/>
    <x v="6"/>
    <n v="7"/>
    <n v="46080"/>
    <x v="66"/>
    <x v="66"/>
    <x v="66"/>
  </r>
  <r>
    <n v="168"/>
    <s v="Anita"/>
    <x v="1"/>
    <x v="0"/>
    <x v="0"/>
    <n v="3"/>
    <n v="14350"/>
    <x v="67"/>
    <x v="67"/>
    <x v="67"/>
  </r>
  <r>
    <n v="169"/>
    <s v="Vikas"/>
    <x v="2"/>
    <x v="0"/>
    <x v="6"/>
    <n v="6"/>
    <n v="25354"/>
    <x v="68"/>
    <x v="68"/>
    <x v="68"/>
  </r>
  <r>
    <n v="170"/>
    <s v="Deepak"/>
    <x v="1"/>
    <x v="1"/>
    <x v="1"/>
    <n v="6"/>
    <n v="46186"/>
    <x v="69"/>
    <x v="69"/>
    <x v="69"/>
  </r>
  <r>
    <n v="171"/>
    <s v="Anita"/>
    <x v="2"/>
    <x v="0"/>
    <x v="1"/>
    <n v="3"/>
    <n v="29145"/>
    <x v="70"/>
    <x v="70"/>
    <x v="70"/>
  </r>
  <r>
    <n v="172"/>
    <s v="Karan"/>
    <x v="1"/>
    <x v="2"/>
    <x v="3"/>
    <n v="7"/>
    <n v="35020"/>
    <x v="71"/>
    <x v="71"/>
    <x v="71"/>
  </r>
  <r>
    <n v="173"/>
    <s v="Priya"/>
    <x v="3"/>
    <x v="3"/>
    <x v="7"/>
    <n v="3"/>
    <n v="21587"/>
    <x v="72"/>
    <x v="72"/>
    <x v="72"/>
  </r>
  <r>
    <n v="174"/>
    <s v="Karan"/>
    <x v="3"/>
    <x v="1"/>
    <x v="0"/>
    <n v="8"/>
    <n v="42131"/>
    <x v="73"/>
    <x v="73"/>
    <x v="73"/>
  </r>
  <r>
    <n v="175"/>
    <s v="Anita"/>
    <x v="3"/>
    <x v="1"/>
    <x v="4"/>
    <n v="4"/>
    <n v="10650"/>
    <x v="74"/>
    <x v="74"/>
    <x v="74"/>
  </r>
  <r>
    <n v="176"/>
    <s v="Neha"/>
    <x v="1"/>
    <x v="2"/>
    <x v="7"/>
    <n v="1"/>
    <n v="20933"/>
    <x v="75"/>
    <x v="75"/>
    <x v="75"/>
  </r>
  <r>
    <n v="177"/>
    <s v="Deepak"/>
    <x v="2"/>
    <x v="3"/>
    <x v="0"/>
    <n v="4"/>
    <n v="21581"/>
    <x v="76"/>
    <x v="76"/>
    <x v="76"/>
  </r>
  <r>
    <n v="178"/>
    <s v="Deepak"/>
    <x v="2"/>
    <x v="3"/>
    <x v="7"/>
    <n v="7"/>
    <n v="24393"/>
    <x v="77"/>
    <x v="77"/>
    <x v="77"/>
  </r>
  <r>
    <n v="179"/>
    <s v="Amit"/>
    <x v="1"/>
    <x v="1"/>
    <x v="4"/>
    <n v="4"/>
    <n v="24051"/>
    <x v="78"/>
    <x v="78"/>
    <x v="78"/>
  </r>
  <r>
    <n v="180"/>
    <s v="Deepak"/>
    <x v="3"/>
    <x v="0"/>
    <x v="5"/>
    <n v="6"/>
    <n v="27212"/>
    <x v="79"/>
    <x v="79"/>
    <x v="79"/>
  </r>
  <r>
    <n v="181"/>
    <s v="Vikas"/>
    <x v="3"/>
    <x v="1"/>
    <x v="5"/>
    <n v="9"/>
    <n v="5090"/>
    <x v="80"/>
    <x v="80"/>
    <x v="80"/>
  </r>
  <r>
    <n v="182"/>
    <s v="Deepak"/>
    <x v="2"/>
    <x v="3"/>
    <x v="3"/>
    <n v="1"/>
    <n v="7960"/>
    <x v="81"/>
    <x v="81"/>
    <x v="81"/>
  </r>
  <r>
    <n v="183"/>
    <s v="Anita"/>
    <x v="3"/>
    <x v="2"/>
    <x v="5"/>
    <n v="5"/>
    <n v="36772"/>
    <x v="82"/>
    <x v="82"/>
    <x v="82"/>
  </r>
  <r>
    <n v="184"/>
    <s v="Amit"/>
    <x v="0"/>
    <x v="1"/>
    <x v="5"/>
    <n v="7"/>
    <n v="22520"/>
    <x v="83"/>
    <x v="83"/>
    <x v="83"/>
  </r>
  <r>
    <n v="185"/>
    <s v="Anita"/>
    <x v="2"/>
    <x v="3"/>
    <x v="2"/>
    <n v="1"/>
    <n v="37408"/>
    <x v="84"/>
    <x v="84"/>
    <x v="84"/>
  </r>
  <r>
    <n v="186"/>
    <s v="Anita"/>
    <x v="3"/>
    <x v="1"/>
    <x v="6"/>
    <n v="4"/>
    <n v="29470"/>
    <x v="85"/>
    <x v="85"/>
    <x v="85"/>
  </r>
  <r>
    <n v="187"/>
    <s v="Ravi"/>
    <x v="2"/>
    <x v="0"/>
    <x v="2"/>
    <n v="6"/>
    <n v="21491"/>
    <x v="86"/>
    <x v="86"/>
    <x v="86"/>
  </r>
  <r>
    <n v="188"/>
    <s v="Amit"/>
    <x v="0"/>
    <x v="1"/>
    <x v="2"/>
    <n v="2"/>
    <n v="2341"/>
    <x v="87"/>
    <x v="87"/>
    <x v="87"/>
  </r>
  <r>
    <n v="189"/>
    <s v="Anita"/>
    <x v="2"/>
    <x v="1"/>
    <x v="3"/>
    <n v="5"/>
    <n v="45623"/>
    <x v="88"/>
    <x v="88"/>
    <x v="88"/>
  </r>
  <r>
    <n v="190"/>
    <s v="Ravi"/>
    <x v="2"/>
    <x v="3"/>
    <x v="2"/>
    <n v="1"/>
    <n v="25791"/>
    <x v="89"/>
    <x v="89"/>
    <x v="89"/>
  </r>
  <r>
    <n v="191"/>
    <s v="Ravi"/>
    <x v="2"/>
    <x v="3"/>
    <x v="5"/>
    <n v="6"/>
    <n v="1338"/>
    <x v="90"/>
    <x v="90"/>
    <x v="90"/>
  </r>
  <r>
    <n v="192"/>
    <s v="Amit"/>
    <x v="2"/>
    <x v="3"/>
    <x v="4"/>
    <n v="6"/>
    <n v="6895"/>
    <x v="91"/>
    <x v="91"/>
    <x v="91"/>
  </r>
  <r>
    <n v="193"/>
    <s v="Karan"/>
    <x v="0"/>
    <x v="1"/>
    <x v="3"/>
    <n v="4"/>
    <n v="13254"/>
    <x v="92"/>
    <x v="92"/>
    <x v="92"/>
  </r>
  <r>
    <n v="194"/>
    <s v="Neha"/>
    <x v="1"/>
    <x v="0"/>
    <x v="3"/>
    <n v="8"/>
    <n v="12344"/>
    <x v="93"/>
    <x v="93"/>
    <x v="93"/>
  </r>
  <r>
    <n v="195"/>
    <s v="Vikas"/>
    <x v="2"/>
    <x v="2"/>
    <x v="1"/>
    <n v="4"/>
    <n v="2750"/>
    <x v="94"/>
    <x v="94"/>
    <x v="94"/>
  </r>
  <r>
    <n v="196"/>
    <s v="Neha"/>
    <x v="2"/>
    <x v="2"/>
    <x v="3"/>
    <n v="8"/>
    <n v="3421"/>
    <x v="95"/>
    <x v="95"/>
    <x v="95"/>
  </r>
  <r>
    <n v="197"/>
    <s v="Deepak"/>
    <x v="3"/>
    <x v="3"/>
    <x v="1"/>
    <n v="8"/>
    <n v="40887"/>
    <x v="96"/>
    <x v="96"/>
    <x v="96"/>
  </r>
  <r>
    <n v="198"/>
    <s v="Vikas"/>
    <x v="2"/>
    <x v="3"/>
    <x v="3"/>
    <n v="5"/>
    <n v="6319"/>
    <x v="97"/>
    <x v="97"/>
    <x v="97"/>
  </r>
  <r>
    <n v="199"/>
    <s v="Deepak"/>
    <x v="3"/>
    <x v="1"/>
    <x v="6"/>
    <n v="4"/>
    <n v="16896"/>
    <x v="98"/>
    <x v="98"/>
    <x v="98"/>
  </r>
  <r>
    <n v="200"/>
    <s v="Anita"/>
    <x v="1"/>
    <x v="2"/>
    <x v="5"/>
    <n v="2"/>
    <n v="12918"/>
    <x v="99"/>
    <x v="99"/>
    <x v="99"/>
  </r>
  <r>
    <n v="201"/>
    <s v="Priya"/>
    <x v="0"/>
    <x v="3"/>
    <x v="3"/>
    <n v="3"/>
    <n v="26064"/>
    <x v="100"/>
    <x v="100"/>
    <x v="100"/>
  </r>
  <r>
    <n v="202"/>
    <s v="Amit"/>
    <x v="0"/>
    <x v="0"/>
    <x v="5"/>
    <n v="3"/>
    <n v="47617"/>
    <x v="101"/>
    <x v="101"/>
    <x v="101"/>
  </r>
  <r>
    <n v="203"/>
    <s v="Vikas"/>
    <x v="1"/>
    <x v="0"/>
    <x v="5"/>
    <n v="4"/>
    <n v="28935"/>
    <x v="102"/>
    <x v="102"/>
    <x v="102"/>
  </r>
  <r>
    <n v="204"/>
    <s v="Vikas"/>
    <x v="0"/>
    <x v="3"/>
    <x v="7"/>
    <n v="4"/>
    <n v="38641"/>
    <x v="103"/>
    <x v="103"/>
    <x v="103"/>
  </r>
  <r>
    <n v="205"/>
    <s v="Anita"/>
    <x v="1"/>
    <x v="3"/>
    <x v="3"/>
    <n v="5"/>
    <n v="30711"/>
    <x v="104"/>
    <x v="104"/>
    <x v="104"/>
  </r>
  <r>
    <n v="206"/>
    <s v="Karan"/>
    <x v="1"/>
    <x v="2"/>
    <x v="0"/>
    <n v="4"/>
    <n v="5806"/>
    <x v="105"/>
    <x v="105"/>
    <x v="105"/>
  </r>
  <r>
    <n v="207"/>
    <s v="Ravi"/>
    <x v="1"/>
    <x v="2"/>
    <x v="7"/>
    <n v="8"/>
    <n v="42360"/>
    <x v="106"/>
    <x v="106"/>
    <x v="106"/>
  </r>
  <r>
    <n v="208"/>
    <s v="Anita"/>
    <x v="0"/>
    <x v="1"/>
    <x v="0"/>
    <n v="6"/>
    <n v="13182"/>
    <x v="107"/>
    <x v="107"/>
    <x v="107"/>
  </r>
  <r>
    <n v="209"/>
    <s v="Pooja"/>
    <x v="3"/>
    <x v="2"/>
    <x v="5"/>
    <n v="6"/>
    <n v="23297"/>
    <x v="108"/>
    <x v="108"/>
    <x v="108"/>
  </r>
  <r>
    <n v="210"/>
    <s v="Ravi"/>
    <x v="1"/>
    <x v="0"/>
    <x v="5"/>
    <n v="8"/>
    <n v="20541"/>
    <x v="109"/>
    <x v="109"/>
    <x v="109"/>
  </r>
  <r>
    <n v="211"/>
    <s v="Amit"/>
    <x v="2"/>
    <x v="0"/>
    <x v="7"/>
    <n v="7"/>
    <n v="29921"/>
    <x v="110"/>
    <x v="110"/>
    <x v="110"/>
  </r>
  <r>
    <n v="212"/>
    <s v="Ravi"/>
    <x v="0"/>
    <x v="3"/>
    <x v="7"/>
    <n v="8"/>
    <n v="17774"/>
    <x v="111"/>
    <x v="111"/>
    <x v="111"/>
  </r>
  <r>
    <n v="213"/>
    <s v="Karan"/>
    <x v="1"/>
    <x v="2"/>
    <x v="0"/>
    <n v="2"/>
    <n v="45813"/>
    <x v="112"/>
    <x v="112"/>
    <x v="112"/>
  </r>
  <r>
    <n v="214"/>
    <s v="Ravi"/>
    <x v="1"/>
    <x v="1"/>
    <x v="1"/>
    <n v="9"/>
    <n v="38198"/>
    <x v="113"/>
    <x v="113"/>
    <x v="113"/>
  </r>
  <r>
    <n v="215"/>
    <s v="Amit"/>
    <x v="2"/>
    <x v="0"/>
    <x v="0"/>
    <n v="1"/>
    <n v="9820"/>
    <x v="114"/>
    <x v="114"/>
    <x v="114"/>
  </r>
  <r>
    <n v="216"/>
    <s v="Karan"/>
    <x v="3"/>
    <x v="0"/>
    <x v="7"/>
    <n v="8"/>
    <n v="25070"/>
    <x v="115"/>
    <x v="115"/>
    <x v="115"/>
  </r>
  <r>
    <n v="217"/>
    <s v="Neha"/>
    <x v="3"/>
    <x v="1"/>
    <x v="4"/>
    <n v="4"/>
    <n v="5232"/>
    <x v="116"/>
    <x v="116"/>
    <x v="116"/>
  </r>
  <r>
    <n v="218"/>
    <s v="Vikas"/>
    <x v="3"/>
    <x v="1"/>
    <x v="7"/>
    <n v="4"/>
    <n v="12122"/>
    <x v="117"/>
    <x v="117"/>
    <x v="117"/>
  </r>
  <r>
    <n v="219"/>
    <s v="Vikas"/>
    <x v="1"/>
    <x v="0"/>
    <x v="4"/>
    <n v="5"/>
    <n v="16023"/>
    <x v="118"/>
    <x v="118"/>
    <x v="118"/>
  </r>
  <r>
    <n v="220"/>
    <s v="Deepak"/>
    <x v="1"/>
    <x v="0"/>
    <x v="6"/>
    <n v="8"/>
    <n v="9007"/>
    <x v="119"/>
    <x v="119"/>
    <x v="119"/>
  </r>
  <r>
    <n v="221"/>
    <s v="Neha"/>
    <x v="1"/>
    <x v="1"/>
    <x v="7"/>
    <n v="5"/>
    <n v="18905"/>
    <x v="120"/>
    <x v="120"/>
    <x v="120"/>
  </r>
  <r>
    <n v="222"/>
    <s v="Neha"/>
    <x v="0"/>
    <x v="0"/>
    <x v="6"/>
    <n v="8"/>
    <n v="42786"/>
    <x v="121"/>
    <x v="121"/>
    <x v="121"/>
  </r>
  <r>
    <n v="223"/>
    <s v="Ravi"/>
    <x v="2"/>
    <x v="3"/>
    <x v="1"/>
    <n v="1"/>
    <n v="30398"/>
    <x v="122"/>
    <x v="122"/>
    <x v="122"/>
  </r>
  <r>
    <n v="224"/>
    <s v="Vikas"/>
    <x v="1"/>
    <x v="3"/>
    <x v="0"/>
    <n v="9"/>
    <n v="35268"/>
    <x v="123"/>
    <x v="123"/>
    <x v="123"/>
  </r>
  <r>
    <n v="225"/>
    <s v="Amit"/>
    <x v="2"/>
    <x v="1"/>
    <x v="4"/>
    <n v="6"/>
    <n v="7737"/>
    <x v="124"/>
    <x v="124"/>
    <x v="124"/>
  </r>
  <r>
    <n v="226"/>
    <s v="Sneha"/>
    <x v="2"/>
    <x v="2"/>
    <x v="0"/>
    <n v="3"/>
    <n v="37062"/>
    <x v="125"/>
    <x v="125"/>
    <x v="125"/>
  </r>
  <r>
    <n v="227"/>
    <s v="Sneha"/>
    <x v="3"/>
    <x v="1"/>
    <x v="6"/>
    <n v="8"/>
    <n v="26510"/>
    <x v="126"/>
    <x v="126"/>
    <x v="126"/>
  </r>
  <r>
    <n v="228"/>
    <s v="Karan"/>
    <x v="0"/>
    <x v="1"/>
    <x v="4"/>
    <n v="9"/>
    <n v="20426"/>
    <x v="127"/>
    <x v="127"/>
    <x v="127"/>
  </r>
  <r>
    <n v="229"/>
    <s v="Vikas"/>
    <x v="1"/>
    <x v="2"/>
    <x v="0"/>
    <n v="6"/>
    <n v="38265"/>
    <x v="128"/>
    <x v="128"/>
    <x v="128"/>
  </r>
  <r>
    <n v="230"/>
    <s v="Vikas"/>
    <x v="3"/>
    <x v="2"/>
    <x v="7"/>
    <n v="7"/>
    <n v="18850"/>
    <x v="129"/>
    <x v="129"/>
    <x v="129"/>
  </r>
  <r>
    <n v="231"/>
    <s v="Sneha"/>
    <x v="3"/>
    <x v="2"/>
    <x v="5"/>
    <n v="1"/>
    <n v="1614"/>
    <x v="130"/>
    <x v="130"/>
    <x v="130"/>
  </r>
  <r>
    <n v="232"/>
    <s v="Vikas"/>
    <x v="1"/>
    <x v="3"/>
    <x v="6"/>
    <n v="5"/>
    <n v="22776"/>
    <x v="131"/>
    <x v="131"/>
    <x v="131"/>
  </r>
  <r>
    <n v="233"/>
    <s v="Ravi"/>
    <x v="2"/>
    <x v="0"/>
    <x v="0"/>
    <n v="5"/>
    <n v="25077"/>
    <x v="132"/>
    <x v="132"/>
    <x v="132"/>
  </r>
  <r>
    <n v="234"/>
    <s v="Pooja"/>
    <x v="3"/>
    <x v="3"/>
    <x v="6"/>
    <n v="4"/>
    <n v="10374"/>
    <x v="133"/>
    <x v="133"/>
    <x v="133"/>
  </r>
  <r>
    <n v="235"/>
    <s v="Priya"/>
    <x v="2"/>
    <x v="0"/>
    <x v="2"/>
    <n v="6"/>
    <n v="36435"/>
    <x v="134"/>
    <x v="134"/>
    <x v="134"/>
  </r>
  <r>
    <n v="236"/>
    <s v="Neha"/>
    <x v="0"/>
    <x v="3"/>
    <x v="6"/>
    <n v="7"/>
    <n v="31907"/>
    <x v="135"/>
    <x v="135"/>
    <x v="135"/>
  </r>
  <r>
    <n v="237"/>
    <s v="Deepak"/>
    <x v="2"/>
    <x v="0"/>
    <x v="4"/>
    <n v="9"/>
    <n v="14409"/>
    <x v="136"/>
    <x v="136"/>
    <x v="136"/>
  </r>
  <r>
    <n v="238"/>
    <s v="Karan"/>
    <x v="0"/>
    <x v="3"/>
    <x v="2"/>
    <n v="1"/>
    <n v="17514"/>
    <x v="137"/>
    <x v="137"/>
    <x v="137"/>
  </r>
  <r>
    <n v="239"/>
    <s v="Pooja"/>
    <x v="2"/>
    <x v="2"/>
    <x v="3"/>
    <n v="6"/>
    <n v="30866"/>
    <x v="138"/>
    <x v="138"/>
    <x v="138"/>
  </r>
  <r>
    <n v="240"/>
    <s v="Sneha"/>
    <x v="3"/>
    <x v="1"/>
    <x v="4"/>
    <n v="7"/>
    <n v="3983"/>
    <x v="139"/>
    <x v="139"/>
    <x v="139"/>
  </r>
  <r>
    <n v="241"/>
    <s v="Neha"/>
    <x v="3"/>
    <x v="3"/>
    <x v="5"/>
    <n v="3"/>
    <n v="32705"/>
    <x v="140"/>
    <x v="140"/>
    <x v="140"/>
  </r>
  <r>
    <n v="242"/>
    <s v="Vikas"/>
    <x v="0"/>
    <x v="0"/>
    <x v="2"/>
    <n v="8"/>
    <n v="21662"/>
    <x v="141"/>
    <x v="141"/>
    <x v="141"/>
  </r>
  <r>
    <n v="243"/>
    <s v="Deepak"/>
    <x v="1"/>
    <x v="2"/>
    <x v="3"/>
    <n v="5"/>
    <n v="24510"/>
    <x v="142"/>
    <x v="142"/>
    <x v="142"/>
  </r>
  <r>
    <n v="244"/>
    <s v="Vikas"/>
    <x v="0"/>
    <x v="3"/>
    <x v="7"/>
    <n v="9"/>
    <n v="13651"/>
    <x v="143"/>
    <x v="143"/>
    <x v="143"/>
  </r>
  <r>
    <n v="245"/>
    <s v="Amit"/>
    <x v="0"/>
    <x v="3"/>
    <x v="6"/>
    <n v="5"/>
    <n v="41998"/>
    <x v="144"/>
    <x v="144"/>
    <x v="144"/>
  </r>
  <r>
    <n v="246"/>
    <s v="Amit"/>
    <x v="2"/>
    <x v="2"/>
    <x v="0"/>
    <n v="9"/>
    <n v="29535"/>
    <x v="145"/>
    <x v="145"/>
    <x v="145"/>
  </r>
  <r>
    <n v="247"/>
    <s v="Deepak"/>
    <x v="2"/>
    <x v="3"/>
    <x v="1"/>
    <n v="4"/>
    <n v="7640"/>
    <x v="146"/>
    <x v="146"/>
    <x v="146"/>
  </r>
  <r>
    <n v="248"/>
    <s v="Deepak"/>
    <x v="0"/>
    <x v="1"/>
    <x v="6"/>
    <n v="9"/>
    <n v="45547"/>
    <x v="147"/>
    <x v="147"/>
    <x v="147"/>
  </r>
  <r>
    <n v="249"/>
    <s v="Sneha"/>
    <x v="3"/>
    <x v="3"/>
    <x v="3"/>
    <n v="5"/>
    <n v="16317"/>
    <x v="148"/>
    <x v="148"/>
    <x v="148"/>
  </r>
  <r>
    <n v="250"/>
    <s v="Deepak"/>
    <x v="2"/>
    <x v="1"/>
    <x v="6"/>
    <n v="9"/>
    <n v="8564"/>
    <x v="149"/>
    <x v="149"/>
    <x v="149"/>
  </r>
  <r>
    <n v="251"/>
    <s v="Ravi"/>
    <x v="1"/>
    <x v="1"/>
    <x v="5"/>
    <n v="3"/>
    <n v="28345"/>
    <x v="150"/>
    <x v="150"/>
    <x v="150"/>
  </r>
  <r>
    <n v="252"/>
    <s v="Vikas"/>
    <x v="2"/>
    <x v="2"/>
    <x v="7"/>
    <n v="4"/>
    <n v="49288"/>
    <x v="151"/>
    <x v="151"/>
    <x v="151"/>
  </r>
  <r>
    <n v="253"/>
    <s v="Pooja"/>
    <x v="2"/>
    <x v="3"/>
    <x v="1"/>
    <n v="9"/>
    <n v="29687"/>
    <x v="152"/>
    <x v="152"/>
    <x v="152"/>
  </r>
  <r>
    <n v="254"/>
    <s v="Anita"/>
    <x v="1"/>
    <x v="2"/>
    <x v="2"/>
    <n v="6"/>
    <n v="14737"/>
    <x v="153"/>
    <x v="153"/>
    <x v="153"/>
  </r>
  <r>
    <n v="255"/>
    <s v="Deepak"/>
    <x v="0"/>
    <x v="3"/>
    <x v="2"/>
    <n v="2"/>
    <n v="10323"/>
    <x v="154"/>
    <x v="154"/>
    <x v="154"/>
  </r>
  <r>
    <n v="256"/>
    <s v="Karan"/>
    <x v="1"/>
    <x v="3"/>
    <x v="2"/>
    <n v="7"/>
    <n v="16229"/>
    <x v="155"/>
    <x v="155"/>
    <x v="155"/>
  </r>
  <r>
    <n v="257"/>
    <s v="Amit"/>
    <x v="0"/>
    <x v="0"/>
    <x v="3"/>
    <n v="2"/>
    <n v="45481"/>
    <x v="156"/>
    <x v="156"/>
    <x v="156"/>
  </r>
  <r>
    <n v="258"/>
    <s v="Ravi"/>
    <x v="0"/>
    <x v="3"/>
    <x v="4"/>
    <n v="2"/>
    <n v="9502"/>
    <x v="157"/>
    <x v="157"/>
    <x v="157"/>
  </r>
  <r>
    <n v="259"/>
    <s v="Neha"/>
    <x v="0"/>
    <x v="2"/>
    <x v="4"/>
    <n v="1"/>
    <n v="1545"/>
    <x v="158"/>
    <x v="158"/>
    <x v="158"/>
  </r>
  <r>
    <n v="260"/>
    <s v="Anita"/>
    <x v="1"/>
    <x v="1"/>
    <x v="0"/>
    <n v="3"/>
    <n v="38114"/>
    <x v="159"/>
    <x v="159"/>
    <x v="159"/>
  </r>
  <r>
    <n v="261"/>
    <s v="Pooja"/>
    <x v="0"/>
    <x v="3"/>
    <x v="1"/>
    <n v="6"/>
    <n v="30430"/>
    <x v="160"/>
    <x v="160"/>
    <x v="160"/>
  </r>
  <r>
    <n v="262"/>
    <s v="Anita"/>
    <x v="3"/>
    <x v="0"/>
    <x v="2"/>
    <n v="8"/>
    <n v="10996"/>
    <x v="161"/>
    <x v="161"/>
    <x v="161"/>
  </r>
  <r>
    <n v="263"/>
    <s v="Deepak"/>
    <x v="1"/>
    <x v="2"/>
    <x v="4"/>
    <n v="9"/>
    <n v="28788"/>
    <x v="162"/>
    <x v="162"/>
    <x v="162"/>
  </r>
  <r>
    <n v="264"/>
    <s v="Sneha"/>
    <x v="3"/>
    <x v="3"/>
    <x v="3"/>
    <n v="7"/>
    <n v="30969"/>
    <x v="163"/>
    <x v="163"/>
    <x v="163"/>
  </r>
  <r>
    <n v="265"/>
    <s v="Amit"/>
    <x v="0"/>
    <x v="2"/>
    <x v="0"/>
    <n v="4"/>
    <n v="49543"/>
    <x v="164"/>
    <x v="164"/>
    <x v="164"/>
  </r>
  <r>
    <n v="266"/>
    <s v="Amit"/>
    <x v="2"/>
    <x v="0"/>
    <x v="7"/>
    <n v="6"/>
    <n v="14919"/>
    <x v="165"/>
    <x v="165"/>
    <x v="165"/>
  </r>
  <r>
    <n v="267"/>
    <s v="Neha"/>
    <x v="0"/>
    <x v="0"/>
    <x v="0"/>
    <n v="5"/>
    <n v="4810"/>
    <x v="166"/>
    <x v="166"/>
    <x v="166"/>
  </r>
  <r>
    <n v="268"/>
    <s v="Sneha"/>
    <x v="3"/>
    <x v="2"/>
    <x v="4"/>
    <n v="8"/>
    <n v="31586"/>
    <x v="167"/>
    <x v="167"/>
    <x v="167"/>
  </r>
  <r>
    <n v="269"/>
    <s v="Vikas"/>
    <x v="3"/>
    <x v="3"/>
    <x v="5"/>
    <n v="1"/>
    <n v="40974"/>
    <x v="168"/>
    <x v="168"/>
    <x v="168"/>
  </r>
  <r>
    <n v="270"/>
    <s v="Priya"/>
    <x v="1"/>
    <x v="1"/>
    <x v="3"/>
    <n v="1"/>
    <n v="42773"/>
    <x v="169"/>
    <x v="169"/>
    <x v="169"/>
  </r>
  <r>
    <n v="271"/>
    <s v="Ravi"/>
    <x v="2"/>
    <x v="0"/>
    <x v="5"/>
    <n v="6"/>
    <n v="17371"/>
    <x v="170"/>
    <x v="170"/>
    <x v="170"/>
  </r>
  <r>
    <n v="272"/>
    <s v="Amit"/>
    <x v="1"/>
    <x v="3"/>
    <x v="2"/>
    <n v="2"/>
    <n v="46084"/>
    <x v="171"/>
    <x v="171"/>
    <x v="171"/>
  </r>
  <r>
    <n v="273"/>
    <s v="Karan"/>
    <x v="3"/>
    <x v="3"/>
    <x v="5"/>
    <n v="5"/>
    <n v="30629"/>
    <x v="172"/>
    <x v="172"/>
    <x v="172"/>
  </r>
  <r>
    <n v="274"/>
    <s v="Amit"/>
    <x v="0"/>
    <x v="1"/>
    <x v="2"/>
    <n v="1"/>
    <n v="9436"/>
    <x v="173"/>
    <x v="173"/>
    <x v="173"/>
  </r>
  <r>
    <n v="275"/>
    <s v="Anita"/>
    <x v="2"/>
    <x v="0"/>
    <x v="2"/>
    <n v="7"/>
    <n v="13984"/>
    <x v="174"/>
    <x v="174"/>
    <x v="174"/>
  </r>
  <r>
    <n v="276"/>
    <s v="Amit"/>
    <x v="0"/>
    <x v="0"/>
    <x v="4"/>
    <n v="1"/>
    <n v="34039"/>
    <x v="175"/>
    <x v="175"/>
    <x v="175"/>
  </r>
  <r>
    <n v="277"/>
    <s v="Amit"/>
    <x v="0"/>
    <x v="3"/>
    <x v="5"/>
    <n v="4"/>
    <n v="20895"/>
    <x v="176"/>
    <x v="176"/>
    <x v="176"/>
  </r>
  <r>
    <n v="278"/>
    <s v="Priya"/>
    <x v="2"/>
    <x v="3"/>
    <x v="2"/>
    <n v="9"/>
    <n v="19155"/>
    <x v="177"/>
    <x v="177"/>
    <x v="177"/>
  </r>
  <r>
    <n v="279"/>
    <s v="Priya"/>
    <x v="1"/>
    <x v="1"/>
    <x v="1"/>
    <n v="1"/>
    <n v="11616"/>
    <x v="178"/>
    <x v="178"/>
    <x v="178"/>
  </r>
  <r>
    <n v="280"/>
    <s v="Pooja"/>
    <x v="0"/>
    <x v="1"/>
    <x v="7"/>
    <n v="4"/>
    <n v="38129"/>
    <x v="179"/>
    <x v="179"/>
    <x v="179"/>
  </r>
  <r>
    <n v="281"/>
    <s v="Vikas"/>
    <x v="3"/>
    <x v="0"/>
    <x v="0"/>
    <n v="6"/>
    <n v="40837"/>
    <x v="180"/>
    <x v="180"/>
    <x v="180"/>
  </r>
  <r>
    <n v="282"/>
    <s v="Karan"/>
    <x v="0"/>
    <x v="2"/>
    <x v="0"/>
    <n v="6"/>
    <n v="25574"/>
    <x v="181"/>
    <x v="181"/>
    <x v="181"/>
  </r>
  <r>
    <n v="283"/>
    <s v="Amit"/>
    <x v="2"/>
    <x v="0"/>
    <x v="4"/>
    <n v="8"/>
    <n v="4430"/>
    <x v="182"/>
    <x v="182"/>
    <x v="182"/>
  </r>
  <r>
    <n v="284"/>
    <s v="Amit"/>
    <x v="2"/>
    <x v="3"/>
    <x v="5"/>
    <n v="1"/>
    <n v="13676"/>
    <x v="183"/>
    <x v="183"/>
    <x v="183"/>
  </r>
  <r>
    <n v="285"/>
    <s v="Ravi"/>
    <x v="2"/>
    <x v="0"/>
    <x v="5"/>
    <n v="7"/>
    <n v="11816"/>
    <x v="184"/>
    <x v="184"/>
    <x v="184"/>
  </r>
  <r>
    <n v="286"/>
    <s v="Priya"/>
    <x v="1"/>
    <x v="2"/>
    <x v="2"/>
    <n v="1"/>
    <n v="33733"/>
    <x v="185"/>
    <x v="185"/>
    <x v="185"/>
  </r>
  <r>
    <n v="287"/>
    <s v="Karan"/>
    <x v="0"/>
    <x v="1"/>
    <x v="3"/>
    <n v="7"/>
    <n v="21144"/>
    <x v="186"/>
    <x v="186"/>
    <x v="186"/>
  </r>
  <r>
    <n v="288"/>
    <s v="Neha"/>
    <x v="1"/>
    <x v="2"/>
    <x v="6"/>
    <n v="3"/>
    <n v="3050"/>
    <x v="187"/>
    <x v="187"/>
    <x v="187"/>
  </r>
  <r>
    <n v="289"/>
    <s v="Pooja"/>
    <x v="1"/>
    <x v="2"/>
    <x v="2"/>
    <n v="8"/>
    <n v="45460"/>
    <x v="188"/>
    <x v="188"/>
    <x v="188"/>
  </r>
  <r>
    <n v="290"/>
    <s v="Vikas"/>
    <x v="2"/>
    <x v="2"/>
    <x v="7"/>
    <n v="3"/>
    <n v="34933"/>
    <x v="189"/>
    <x v="189"/>
    <x v="189"/>
  </r>
  <r>
    <n v="291"/>
    <s v="Sneha"/>
    <x v="2"/>
    <x v="1"/>
    <x v="1"/>
    <n v="1"/>
    <n v="25951"/>
    <x v="190"/>
    <x v="190"/>
    <x v="190"/>
  </r>
  <r>
    <n v="292"/>
    <s v="Vikas"/>
    <x v="1"/>
    <x v="2"/>
    <x v="0"/>
    <n v="8"/>
    <n v="33413"/>
    <x v="191"/>
    <x v="191"/>
    <x v="191"/>
  </r>
  <r>
    <n v="293"/>
    <s v="Anita"/>
    <x v="0"/>
    <x v="2"/>
    <x v="2"/>
    <n v="3"/>
    <n v="35801"/>
    <x v="192"/>
    <x v="192"/>
    <x v="192"/>
  </r>
  <r>
    <n v="294"/>
    <s v="Amit"/>
    <x v="3"/>
    <x v="2"/>
    <x v="6"/>
    <n v="2"/>
    <n v="33913"/>
    <x v="193"/>
    <x v="193"/>
    <x v="193"/>
  </r>
  <r>
    <n v="295"/>
    <s v="Pooja"/>
    <x v="1"/>
    <x v="3"/>
    <x v="6"/>
    <n v="1"/>
    <n v="48037"/>
    <x v="194"/>
    <x v="194"/>
    <x v="194"/>
  </r>
  <r>
    <n v="296"/>
    <s v="Anita"/>
    <x v="0"/>
    <x v="2"/>
    <x v="2"/>
    <n v="3"/>
    <n v="41600"/>
    <x v="195"/>
    <x v="195"/>
    <x v="195"/>
  </r>
  <r>
    <n v="297"/>
    <s v="Karan"/>
    <x v="2"/>
    <x v="1"/>
    <x v="4"/>
    <n v="2"/>
    <n v="26280"/>
    <x v="196"/>
    <x v="196"/>
    <x v="196"/>
  </r>
  <r>
    <n v="298"/>
    <s v="Sneha"/>
    <x v="2"/>
    <x v="2"/>
    <x v="0"/>
    <n v="2"/>
    <n v="25557"/>
    <x v="197"/>
    <x v="197"/>
    <x v="197"/>
  </r>
  <r>
    <n v="299"/>
    <s v="Priya"/>
    <x v="0"/>
    <x v="2"/>
    <x v="4"/>
    <n v="6"/>
    <n v="48054"/>
    <x v="198"/>
    <x v="198"/>
    <x v="198"/>
  </r>
  <r>
    <n v="300"/>
    <s v="Pooja"/>
    <x v="3"/>
    <x v="1"/>
    <x v="1"/>
    <n v="1"/>
    <n v="36400"/>
    <x v="199"/>
    <x v="199"/>
    <x v="199"/>
  </r>
  <r>
    <n v="301"/>
    <s v="Pooja"/>
    <x v="2"/>
    <x v="2"/>
    <x v="6"/>
    <n v="2"/>
    <n v="5494"/>
    <x v="200"/>
    <x v="200"/>
    <x v="200"/>
  </r>
  <r>
    <n v="302"/>
    <s v="Amit"/>
    <x v="2"/>
    <x v="1"/>
    <x v="6"/>
    <n v="6"/>
    <n v="16152"/>
    <x v="201"/>
    <x v="201"/>
    <x v="201"/>
  </r>
  <r>
    <n v="303"/>
    <s v="Deepak"/>
    <x v="2"/>
    <x v="2"/>
    <x v="7"/>
    <n v="3"/>
    <n v="24895"/>
    <x v="202"/>
    <x v="202"/>
    <x v="202"/>
  </r>
  <r>
    <n v="304"/>
    <s v="Pooja"/>
    <x v="0"/>
    <x v="1"/>
    <x v="1"/>
    <n v="4"/>
    <n v="10155"/>
    <x v="203"/>
    <x v="203"/>
    <x v="203"/>
  </r>
  <r>
    <n v="305"/>
    <s v="Ravi"/>
    <x v="1"/>
    <x v="2"/>
    <x v="6"/>
    <n v="1"/>
    <n v="32883"/>
    <x v="204"/>
    <x v="204"/>
    <x v="204"/>
  </r>
  <r>
    <n v="306"/>
    <s v="Sneha"/>
    <x v="2"/>
    <x v="2"/>
    <x v="1"/>
    <n v="8"/>
    <n v="44194"/>
    <x v="205"/>
    <x v="205"/>
    <x v="205"/>
  </r>
  <r>
    <n v="307"/>
    <s v="Sneha"/>
    <x v="1"/>
    <x v="3"/>
    <x v="0"/>
    <n v="7"/>
    <n v="44001"/>
    <x v="206"/>
    <x v="206"/>
    <x v="206"/>
  </r>
  <r>
    <n v="308"/>
    <s v="Ravi"/>
    <x v="3"/>
    <x v="3"/>
    <x v="5"/>
    <n v="7"/>
    <n v="2828"/>
    <x v="207"/>
    <x v="207"/>
    <x v="207"/>
  </r>
  <r>
    <n v="309"/>
    <s v="Neha"/>
    <x v="2"/>
    <x v="2"/>
    <x v="6"/>
    <n v="3"/>
    <n v="46028"/>
    <x v="208"/>
    <x v="208"/>
    <x v="208"/>
  </r>
  <r>
    <n v="310"/>
    <s v="Ravi"/>
    <x v="2"/>
    <x v="2"/>
    <x v="7"/>
    <n v="3"/>
    <n v="42898"/>
    <x v="209"/>
    <x v="209"/>
    <x v="209"/>
  </r>
  <r>
    <n v="311"/>
    <s v="Ravi"/>
    <x v="3"/>
    <x v="0"/>
    <x v="0"/>
    <n v="2"/>
    <n v="33123"/>
    <x v="210"/>
    <x v="210"/>
    <x v="210"/>
  </r>
  <r>
    <n v="312"/>
    <s v="Sneha"/>
    <x v="2"/>
    <x v="1"/>
    <x v="2"/>
    <n v="1"/>
    <n v="38573"/>
    <x v="211"/>
    <x v="211"/>
    <x v="211"/>
  </r>
  <r>
    <n v="313"/>
    <s v="Vikas"/>
    <x v="1"/>
    <x v="0"/>
    <x v="1"/>
    <n v="7"/>
    <n v="1806"/>
    <x v="212"/>
    <x v="212"/>
    <x v="212"/>
  </r>
  <r>
    <n v="314"/>
    <s v="Sneha"/>
    <x v="0"/>
    <x v="3"/>
    <x v="2"/>
    <n v="7"/>
    <n v="41970"/>
    <x v="213"/>
    <x v="213"/>
    <x v="213"/>
  </r>
  <r>
    <n v="315"/>
    <s v="Deepak"/>
    <x v="1"/>
    <x v="3"/>
    <x v="4"/>
    <n v="2"/>
    <n v="30757"/>
    <x v="214"/>
    <x v="214"/>
    <x v="214"/>
  </r>
  <r>
    <n v="316"/>
    <s v="Amit"/>
    <x v="0"/>
    <x v="3"/>
    <x v="0"/>
    <n v="7"/>
    <n v="35636"/>
    <x v="215"/>
    <x v="215"/>
    <x v="215"/>
  </r>
  <r>
    <n v="317"/>
    <s v="Anita"/>
    <x v="0"/>
    <x v="3"/>
    <x v="2"/>
    <n v="8"/>
    <n v="15561"/>
    <x v="216"/>
    <x v="216"/>
    <x v="216"/>
  </r>
  <r>
    <n v="318"/>
    <s v="Vikas"/>
    <x v="1"/>
    <x v="2"/>
    <x v="3"/>
    <n v="1"/>
    <n v="49280"/>
    <x v="217"/>
    <x v="217"/>
    <x v="217"/>
  </r>
  <r>
    <n v="319"/>
    <s v="Priya"/>
    <x v="1"/>
    <x v="3"/>
    <x v="3"/>
    <n v="9"/>
    <n v="25262"/>
    <x v="218"/>
    <x v="218"/>
    <x v="218"/>
  </r>
  <r>
    <n v="320"/>
    <s v="Anita"/>
    <x v="1"/>
    <x v="2"/>
    <x v="6"/>
    <n v="7"/>
    <n v="15899"/>
    <x v="219"/>
    <x v="219"/>
    <x v="219"/>
  </r>
  <r>
    <n v="321"/>
    <s v="Amit"/>
    <x v="1"/>
    <x v="2"/>
    <x v="1"/>
    <n v="3"/>
    <n v="49988"/>
    <x v="220"/>
    <x v="220"/>
    <x v="220"/>
  </r>
  <r>
    <n v="322"/>
    <s v="Deepak"/>
    <x v="3"/>
    <x v="3"/>
    <x v="5"/>
    <n v="8"/>
    <n v="16934"/>
    <x v="221"/>
    <x v="221"/>
    <x v="221"/>
  </r>
  <r>
    <n v="323"/>
    <s v="Deepak"/>
    <x v="2"/>
    <x v="3"/>
    <x v="0"/>
    <n v="7"/>
    <n v="39197"/>
    <x v="222"/>
    <x v="222"/>
    <x v="222"/>
  </r>
  <r>
    <n v="324"/>
    <s v="Priya"/>
    <x v="0"/>
    <x v="1"/>
    <x v="6"/>
    <n v="8"/>
    <n v="42844"/>
    <x v="223"/>
    <x v="223"/>
    <x v="223"/>
  </r>
  <r>
    <n v="325"/>
    <s v="Vikas"/>
    <x v="1"/>
    <x v="0"/>
    <x v="7"/>
    <n v="6"/>
    <n v="37332"/>
    <x v="224"/>
    <x v="224"/>
    <x v="224"/>
  </r>
  <r>
    <n v="326"/>
    <s v="Neha"/>
    <x v="1"/>
    <x v="3"/>
    <x v="4"/>
    <n v="9"/>
    <n v="35157"/>
    <x v="225"/>
    <x v="225"/>
    <x v="225"/>
  </r>
  <r>
    <n v="327"/>
    <s v="Ravi"/>
    <x v="1"/>
    <x v="1"/>
    <x v="1"/>
    <n v="5"/>
    <n v="12593"/>
    <x v="226"/>
    <x v="226"/>
    <x v="226"/>
  </r>
  <r>
    <n v="328"/>
    <s v="Vikas"/>
    <x v="3"/>
    <x v="1"/>
    <x v="0"/>
    <n v="3"/>
    <n v="41042"/>
    <x v="227"/>
    <x v="227"/>
    <x v="227"/>
  </r>
  <r>
    <n v="329"/>
    <s v="Neha"/>
    <x v="1"/>
    <x v="0"/>
    <x v="3"/>
    <n v="3"/>
    <n v="18320"/>
    <x v="228"/>
    <x v="228"/>
    <x v="228"/>
  </r>
  <r>
    <n v="330"/>
    <s v="Deepak"/>
    <x v="1"/>
    <x v="2"/>
    <x v="0"/>
    <n v="1"/>
    <n v="28376"/>
    <x v="229"/>
    <x v="229"/>
    <x v="229"/>
  </r>
  <r>
    <n v="331"/>
    <s v="Sneha"/>
    <x v="1"/>
    <x v="3"/>
    <x v="5"/>
    <n v="8"/>
    <n v="44513"/>
    <x v="230"/>
    <x v="230"/>
    <x v="230"/>
  </r>
  <r>
    <n v="332"/>
    <s v="Amit"/>
    <x v="2"/>
    <x v="0"/>
    <x v="3"/>
    <n v="2"/>
    <n v="15199"/>
    <x v="231"/>
    <x v="122"/>
    <x v="231"/>
  </r>
  <r>
    <n v="333"/>
    <s v="Priya"/>
    <x v="3"/>
    <x v="3"/>
    <x v="5"/>
    <n v="3"/>
    <n v="16876"/>
    <x v="232"/>
    <x v="231"/>
    <x v="232"/>
  </r>
  <r>
    <n v="334"/>
    <s v="Amit"/>
    <x v="1"/>
    <x v="1"/>
    <x v="7"/>
    <n v="8"/>
    <n v="9245"/>
    <x v="233"/>
    <x v="232"/>
    <x v="233"/>
  </r>
  <r>
    <n v="335"/>
    <s v="Karan"/>
    <x v="0"/>
    <x v="1"/>
    <x v="4"/>
    <n v="8"/>
    <n v="8214"/>
    <x v="234"/>
    <x v="233"/>
    <x v="234"/>
  </r>
  <r>
    <n v="336"/>
    <s v="Karan"/>
    <x v="0"/>
    <x v="2"/>
    <x v="7"/>
    <n v="4"/>
    <n v="1726"/>
    <x v="235"/>
    <x v="234"/>
    <x v="235"/>
  </r>
  <r>
    <n v="337"/>
    <s v="Vikas"/>
    <x v="0"/>
    <x v="1"/>
    <x v="6"/>
    <n v="4"/>
    <n v="47600"/>
    <x v="236"/>
    <x v="235"/>
    <x v="236"/>
  </r>
  <r>
    <n v="338"/>
    <s v="Deepak"/>
    <x v="3"/>
    <x v="1"/>
    <x v="6"/>
    <n v="5"/>
    <n v="12362"/>
    <x v="237"/>
    <x v="236"/>
    <x v="237"/>
  </r>
  <r>
    <n v="339"/>
    <s v="Deepak"/>
    <x v="3"/>
    <x v="0"/>
    <x v="7"/>
    <n v="6"/>
    <n v="19297"/>
    <x v="238"/>
    <x v="237"/>
    <x v="238"/>
  </r>
  <r>
    <n v="340"/>
    <s v="Ravi"/>
    <x v="0"/>
    <x v="3"/>
    <x v="4"/>
    <n v="5"/>
    <n v="31448"/>
    <x v="239"/>
    <x v="238"/>
    <x v="239"/>
  </r>
  <r>
    <n v="341"/>
    <s v="Ravi"/>
    <x v="1"/>
    <x v="3"/>
    <x v="7"/>
    <n v="7"/>
    <n v="27172"/>
    <x v="240"/>
    <x v="239"/>
    <x v="240"/>
  </r>
  <r>
    <n v="342"/>
    <s v="Ravi"/>
    <x v="3"/>
    <x v="0"/>
    <x v="4"/>
    <n v="2"/>
    <n v="43874"/>
    <x v="241"/>
    <x v="240"/>
    <x v="241"/>
  </r>
  <r>
    <n v="343"/>
    <s v="Sneha"/>
    <x v="0"/>
    <x v="2"/>
    <x v="4"/>
    <n v="7"/>
    <n v="8657"/>
    <x v="242"/>
    <x v="241"/>
    <x v="242"/>
  </r>
  <r>
    <n v="344"/>
    <s v="Anita"/>
    <x v="0"/>
    <x v="3"/>
    <x v="2"/>
    <n v="7"/>
    <n v="19850"/>
    <x v="243"/>
    <x v="242"/>
    <x v="243"/>
  </r>
  <r>
    <n v="345"/>
    <s v="Pooja"/>
    <x v="1"/>
    <x v="1"/>
    <x v="3"/>
    <n v="1"/>
    <n v="26425"/>
    <x v="244"/>
    <x v="243"/>
    <x v="244"/>
  </r>
  <r>
    <n v="346"/>
    <s v="Anita"/>
    <x v="2"/>
    <x v="3"/>
    <x v="1"/>
    <n v="7"/>
    <n v="27685"/>
    <x v="245"/>
    <x v="244"/>
    <x v="245"/>
  </r>
  <r>
    <n v="347"/>
    <s v="Amit"/>
    <x v="3"/>
    <x v="1"/>
    <x v="4"/>
    <n v="5"/>
    <n v="48319"/>
    <x v="246"/>
    <x v="245"/>
    <x v="246"/>
  </r>
  <r>
    <n v="348"/>
    <s v="Anita"/>
    <x v="1"/>
    <x v="2"/>
    <x v="5"/>
    <n v="3"/>
    <n v="25578"/>
    <x v="247"/>
    <x v="246"/>
    <x v="247"/>
  </r>
  <r>
    <n v="349"/>
    <s v="Sneha"/>
    <x v="0"/>
    <x v="0"/>
    <x v="4"/>
    <n v="3"/>
    <n v="29831"/>
    <x v="248"/>
    <x v="247"/>
    <x v="248"/>
  </r>
  <r>
    <n v="350"/>
    <s v="Amit"/>
    <x v="0"/>
    <x v="3"/>
    <x v="4"/>
    <n v="4"/>
    <n v="8906"/>
    <x v="249"/>
    <x v="248"/>
    <x v="249"/>
  </r>
  <r>
    <n v="351"/>
    <s v="Anita"/>
    <x v="1"/>
    <x v="0"/>
    <x v="4"/>
    <n v="2"/>
    <n v="8287"/>
    <x v="250"/>
    <x v="249"/>
    <x v="250"/>
  </r>
  <r>
    <n v="352"/>
    <s v="Sneha"/>
    <x v="3"/>
    <x v="3"/>
    <x v="2"/>
    <n v="2"/>
    <n v="34660"/>
    <x v="251"/>
    <x v="250"/>
    <x v="251"/>
  </r>
  <r>
    <n v="353"/>
    <s v="Pooja"/>
    <x v="2"/>
    <x v="1"/>
    <x v="3"/>
    <n v="1"/>
    <n v="11222"/>
    <x v="252"/>
    <x v="251"/>
    <x v="252"/>
  </r>
  <r>
    <n v="354"/>
    <s v="Anita"/>
    <x v="2"/>
    <x v="0"/>
    <x v="2"/>
    <n v="5"/>
    <n v="38443"/>
    <x v="253"/>
    <x v="252"/>
    <x v="253"/>
  </r>
  <r>
    <n v="355"/>
    <s v="Sneha"/>
    <x v="0"/>
    <x v="3"/>
    <x v="6"/>
    <n v="4"/>
    <n v="35701"/>
    <x v="254"/>
    <x v="253"/>
    <x v="254"/>
  </r>
  <r>
    <n v="356"/>
    <s v="Ravi"/>
    <x v="3"/>
    <x v="1"/>
    <x v="2"/>
    <n v="2"/>
    <n v="18764"/>
    <x v="255"/>
    <x v="254"/>
    <x v="255"/>
  </r>
  <r>
    <n v="357"/>
    <s v="Deepak"/>
    <x v="2"/>
    <x v="0"/>
    <x v="5"/>
    <n v="3"/>
    <n v="45641"/>
    <x v="256"/>
    <x v="255"/>
    <x v="256"/>
  </r>
  <r>
    <n v="358"/>
    <s v="Ravi"/>
    <x v="3"/>
    <x v="0"/>
    <x v="5"/>
    <n v="7"/>
    <n v="18674"/>
    <x v="257"/>
    <x v="256"/>
    <x v="257"/>
  </r>
  <r>
    <n v="359"/>
    <s v="Deepak"/>
    <x v="3"/>
    <x v="3"/>
    <x v="2"/>
    <n v="7"/>
    <n v="19024"/>
    <x v="258"/>
    <x v="257"/>
    <x v="258"/>
  </r>
  <r>
    <n v="360"/>
    <s v="Priya"/>
    <x v="0"/>
    <x v="3"/>
    <x v="3"/>
    <n v="4"/>
    <n v="47007"/>
    <x v="259"/>
    <x v="258"/>
    <x v="259"/>
  </r>
  <r>
    <n v="361"/>
    <s v="Priya"/>
    <x v="2"/>
    <x v="3"/>
    <x v="7"/>
    <n v="5"/>
    <n v="24874"/>
    <x v="260"/>
    <x v="259"/>
    <x v="260"/>
  </r>
  <r>
    <n v="362"/>
    <s v="Priya"/>
    <x v="1"/>
    <x v="1"/>
    <x v="1"/>
    <n v="5"/>
    <n v="44642"/>
    <x v="261"/>
    <x v="260"/>
    <x v="261"/>
  </r>
  <r>
    <n v="363"/>
    <s v="Pooja"/>
    <x v="0"/>
    <x v="3"/>
    <x v="3"/>
    <n v="6"/>
    <n v="33284"/>
    <x v="262"/>
    <x v="261"/>
    <x v="262"/>
  </r>
  <r>
    <n v="364"/>
    <s v="Ravi"/>
    <x v="2"/>
    <x v="0"/>
    <x v="2"/>
    <n v="9"/>
    <n v="18602"/>
    <x v="263"/>
    <x v="262"/>
    <x v="263"/>
  </r>
  <r>
    <n v="365"/>
    <s v="Deepak"/>
    <x v="2"/>
    <x v="0"/>
    <x v="4"/>
    <n v="2"/>
    <n v="38784"/>
    <x v="264"/>
    <x v="263"/>
    <x v="264"/>
  </r>
  <r>
    <n v="366"/>
    <s v="Sneha"/>
    <x v="2"/>
    <x v="3"/>
    <x v="0"/>
    <n v="5"/>
    <n v="24265"/>
    <x v="265"/>
    <x v="264"/>
    <x v="265"/>
  </r>
  <r>
    <n v="367"/>
    <s v="Amit"/>
    <x v="2"/>
    <x v="3"/>
    <x v="1"/>
    <n v="3"/>
    <n v="26931"/>
    <x v="266"/>
    <x v="265"/>
    <x v="266"/>
  </r>
  <r>
    <n v="368"/>
    <s v="Sneha"/>
    <x v="2"/>
    <x v="2"/>
    <x v="1"/>
    <n v="4"/>
    <n v="29841"/>
    <x v="267"/>
    <x v="266"/>
    <x v="267"/>
  </r>
  <r>
    <n v="369"/>
    <s v="Amit"/>
    <x v="3"/>
    <x v="0"/>
    <x v="5"/>
    <n v="6"/>
    <n v="30192"/>
    <x v="268"/>
    <x v="267"/>
    <x v="268"/>
  </r>
  <r>
    <n v="370"/>
    <s v="Karan"/>
    <x v="0"/>
    <x v="1"/>
    <x v="1"/>
    <n v="8"/>
    <n v="47542"/>
    <x v="269"/>
    <x v="268"/>
    <x v="269"/>
  </r>
  <r>
    <n v="371"/>
    <s v="Sneha"/>
    <x v="3"/>
    <x v="2"/>
    <x v="2"/>
    <n v="1"/>
    <n v="43520"/>
    <x v="270"/>
    <x v="269"/>
    <x v="270"/>
  </r>
  <r>
    <n v="372"/>
    <s v="Anita"/>
    <x v="1"/>
    <x v="3"/>
    <x v="4"/>
    <n v="8"/>
    <n v="16585"/>
    <x v="271"/>
    <x v="270"/>
    <x v="271"/>
  </r>
  <r>
    <n v="373"/>
    <s v="Anita"/>
    <x v="2"/>
    <x v="3"/>
    <x v="4"/>
    <n v="7"/>
    <n v="26559"/>
    <x v="272"/>
    <x v="271"/>
    <x v="272"/>
  </r>
  <r>
    <n v="374"/>
    <s v="Vikas"/>
    <x v="0"/>
    <x v="0"/>
    <x v="6"/>
    <n v="1"/>
    <n v="41059"/>
    <x v="273"/>
    <x v="272"/>
    <x v="273"/>
  </r>
  <r>
    <n v="375"/>
    <s v="Ravi"/>
    <x v="2"/>
    <x v="3"/>
    <x v="4"/>
    <n v="2"/>
    <n v="34742"/>
    <x v="274"/>
    <x v="273"/>
    <x v="274"/>
  </r>
  <r>
    <n v="376"/>
    <s v="Amit"/>
    <x v="0"/>
    <x v="1"/>
    <x v="3"/>
    <n v="3"/>
    <n v="5133"/>
    <x v="275"/>
    <x v="274"/>
    <x v="275"/>
  </r>
  <r>
    <n v="377"/>
    <s v="Amit"/>
    <x v="3"/>
    <x v="0"/>
    <x v="4"/>
    <n v="1"/>
    <n v="15663"/>
    <x v="276"/>
    <x v="275"/>
    <x v="276"/>
  </r>
  <r>
    <n v="378"/>
    <s v="Ravi"/>
    <x v="0"/>
    <x v="3"/>
    <x v="5"/>
    <n v="9"/>
    <n v="22754"/>
    <x v="277"/>
    <x v="276"/>
    <x v="277"/>
  </r>
  <r>
    <n v="379"/>
    <s v="Pooja"/>
    <x v="1"/>
    <x v="0"/>
    <x v="4"/>
    <n v="8"/>
    <n v="4972"/>
    <x v="278"/>
    <x v="277"/>
    <x v="278"/>
  </r>
  <r>
    <n v="380"/>
    <s v="Vikas"/>
    <x v="1"/>
    <x v="3"/>
    <x v="6"/>
    <n v="2"/>
    <n v="6295"/>
    <x v="279"/>
    <x v="278"/>
    <x v="279"/>
  </r>
  <r>
    <n v="381"/>
    <s v="Pooja"/>
    <x v="0"/>
    <x v="3"/>
    <x v="0"/>
    <n v="9"/>
    <n v="47681"/>
    <x v="280"/>
    <x v="279"/>
    <x v="280"/>
  </r>
  <r>
    <n v="382"/>
    <s v="Pooja"/>
    <x v="0"/>
    <x v="3"/>
    <x v="2"/>
    <n v="7"/>
    <n v="42873"/>
    <x v="281"/>
    <x v="280"/>
    <x v="281"/>
  </r>
  <r>
    <n v="383"/>
    <s v="Pooja"/>
    <x v="0"/>
    <x v="1"/>
    <x v="5"/>
    <n v="9"/>
    <n v="30125"/>
    <x v="282"/>
    <x v="281"/>
    <x v="282"/>
  </r>
  <r>
    <n v="384"/>
    <s v="Ravi"/>
    <x v="0"/>
    <x v="1"/>
    <x v="3"/>
    <n v="6"/>
    <n v="41996"/>
    <x v="283"/>
    <x v="282"/>
    <x v="283"/>
  </r>
  <r>
    <n v="385"/>
    <s v="Pooja"/>
    <x v="1"/>
    <x v="0"/>
    <x v="0"/>
    <n v="6"/>
    <n v="10903"/>
    <x v="284"/>
    <x v="283"/>
    <x v="284"/>
  </r>
  <r>
    <n v="386"/>
    <s v="Anita"/>
    <x v="2"/>
    <x v="3"/>
    <x v="5"/>
    <n v="4"/>
    <n v="4020"/>
    <x v="285"/>
    <x v="284"/>
    <x v="285"/>
  </r>
  <r>
    <n v="387"/>
    <s v="Priya"/>
    <x v="0"/>
    <x v="3"/>
    <x v="7"/>
    <n v="2"/>
    <n v="42755"/>
    <x v="286"/>
    <x v="285"/>
    <x v="286"/>
  </r>
  <r>
    <n v="388"/>
    <s v="Karan"/>
    <x v="0"/>
    <x v="1"/>
    <x v="1"/>
    <n v="7"/>
    <n v="21420"/>
    <x v="287"/>
    <x v="286"/>
    <x v="287"/>
  </r>
  <r>
    <n v="389"/>
    <s v="Amit"/>
    <x v="1"/>
    <x v="3"/>
    <x v="7"/>
    <n v="5"/>
    <n v="22452"/>
    <x v="288"/>
    <x v="287"/>
    <x v="288"/>
  </r>
  <r>
    <n v="390"/>
    <s v="Amit"/>
    <x v="1"/>
    <x v="1"/>
    <x v="4"/>
    <n v="6"/>
    <n v="46648"/>
    <x v="289"/>
    <x v="288"/>
    <x v="289"/>
  </r>
  <r>
    <n v="391"/>
    <s v="Karan"/>
    <x v="3"/>
    <x v="3"/>
    <x v="0"/>
    <n v="2"/>
    <n v="39001"/>
    <x v="290"/>
    <x v="289"/>
    <x v="290"/>
  </r>
  <r>
    <n v="392"/>
    <s v="Ravi"/>
    <x v="0"/>
    <x v="0"/>
    <x v="4"/>
    <n v="5"/>
    <n v="10516"/>
    <x v="291"/>
    <x v="290"/>
    <x v="291"/>
  </r>
  <r>
    <n v="393"/>
    <s v="Sneha"/>
    <x v="3"/>
    <x v="3"/>
    <x v="1"/>
    <n v="4"/>
    <n v="48327"/>
    <x v="292"/>
    <x v="291"/>
    <x v="292"/>
  </r>
  <r>
    <n v="394"/>
    <s v="Ravi"/>
    <x v="1"/>
    <x v="3"/>
    <x v="5"/>
    <n v="9"/>
    <n v="3396"/>
    <x v="293"/>
    <x v="292"/>
    <x v="293"/>
  </r>
  <r>
    <n v="395"/>
    <s v="Amit"/>
    <x v="1"/>
    <x v="2"/>
    <x v="1"/>
    <n v="6"/>
    <n v="19546"/>
    <x v="294"/>
    <x v="293"/>
    <x v="294"/>
  </r>
  <r>
    <n v="396"/>
    <s v="Amit"/>
    <x v="2"/>
    <x v="1"/>
    <x v="6"/>
    <n v="2"/>
    <n v="20129"/>
    <x v="295"/>
    <x v="294"/>
    <x v="295"/>
  </r>
  <r>
    <n v="397"/>
    <s v="Karan"/>
    <x v="0"/>
    <x v="3"/>
    <x v="1"/>
    <n v="1"/>
    <n v="2591"/>
    <x v="296"/>
    <x v="295"/>
    <x v="296"/>
  </r>
  <r>
    <n v="398"/>
    <s v="Pooja"/>
    <x v="3"/>
    <x v="3"/>
    <x v="6"/>
    <n v="5"/>
    <n v="12303"/>
    <x v="297"/>
    <x v="296"/>
    <x v="297"/>
  </r>
  <r>
    <n v="399"/>
    <s v="Ravi"/>
    <x v="1"/>
    <x v="2"/>
    <x v="1"/>
    <n v="9"/>
    <n v="31561"/>
    <x v="298"/>
    <x v="297"/>
    <x v="298"/>
  </r>
  <r>
    <n v="400"/>
    <s v="Deepak"/>
    <x v="1"/>
    <x v="2"/>
    <x v="2"/>
    <n v="6"/>
    <n v="7183"/>
    <x v="299"/>
    <x v="298"/>
    <x v="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82EFA-3DEC-4B15-B5BB-75278CA34C19}"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12:M21" firstHeaderRow="1" firstDataRow="1" firstDataCol="1"/>
  <pivotFields count="11">
    <pivotField showAll="0"/>
    <pivotField showAll="0"/>
    <pivotField showAll="0">
      <items count="5">
        <item h="1" x="3"/>
        <item x="0"/>
        <item h="1" x="2"/>
        <item h="1" x="1"/>
        <item t="default"/>
      </items>
    </pivotField>
    <pivotField showAll="0">
      <items count="5">
        <item x="0"/>
        <item h="1" x="1"/>
        <item h="1" x="3"/>
        <item h="1"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pivotFields>
  <rowFields count="1">
    <field x="4"/>
  </rowFields>
  <rowItems count="9">
    <i>
      <x/>
    </i>
    <i>
      <x v="1"/>
    </i>
    <i>
      <x v="2"/>
    </i>
    <i>
      <x v="3"/>
    </i>
    <i>
      <x v="4"/>
    </i>
    <i>
      <x v="5"/>
    </i>
    <i>
      <x v="6"/>
    </i>
    <i>
      <x v="7"/>
    </i>
    <i t="grand">
      <x/>
    </i>
  </rowItems>
  <colItems count="1">
    <i/>
  </colItems>
  <dataFields count="1">
    <dataField name="Sum of Unit Price" fld="6" baseField="0" baseItem="0"/>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0"/>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0FB365-F8C7-4D7C-AA52-B4C9F1BB9857}"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12:J21" firstHeaderRow="1" firstDataRow="1" firstDataCol="1"/>
  <pivotFields count="11">
    <pivotField showAll="0"/>
    <pivotField showAll="0"/>
    <pivotField showAll="0">
      <items count="5">
        <item h="1" x="3"/>
        <item x="0"/>
        <item h="1" x="2"/>
        <item h="1" x="1"/>
        <item t="default"/>
      </items>
    </pivotField>
    <pivotField dataField="1" showAll="0">
      <items count="5">
        <item x="0"/>
        <item h="1" x="1"/>
        <item h="1" x="3"/>
        <item h="1"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9">
    <i>
      <x/>
    </i>
    <i>
      <x v="1"/>
    </i>
    <i>
      <x v="2"/>
    </i>
    <i>
      <x v="3"/>
    </i>
    <i>
      <x v="4"/>
    </i>
    <i>
      <x v="5"/>
    </i>
    <i>
      <x v="6"/>
    </i>
    <i>
      <x v="7"/>
    </i>
    <i t="grand">
      <x/>
    </i>
  </rowItems>
  <colItems count="1">
    <i/>
  </colItems>
  <dataFields count="1">
    <dataField name="Count of Category"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23569-06CA-4D16-ABB7-BD28191C697F}"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B5" firstHeaderRow="1" firstDataRow="1" firstDataCol="1"/>
  <pivotFields count="11">
    <pivotField showAll="0"/>
    <pivotField showAll="0"/>
    <pivotField axis="axisRow" showAll="0">
      <items count="5">
        <item h="1" x="3"/>
        <item x="0"/>
        <item h="1" x="2"/>
        <item h="1" x="1"/>
        <item t="default"/>
      </items>
    </pivotField>
    <pivotField showAll="0">
      <items count="5">
        <item x="0"/>
        <item h="1" x="1"/>
        <item h="1" x="3"/>
        <item h="1"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defaultSubtotal="0"/>
  </pivotFields>
  <rowFields count="1">
    <field x="2"/>
  </rowFields>
  <rowItems count="2">
    <i>
      <x v="1"/>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363A7-78F2-40D2-A14F-CEF50FED1E2F}"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5" firstHeaderRow="1" firstDataRow="1" firstDataCol="1"/>
  <pivotFields count="11">
    <pivotField showAll="0"/>
    <pivotField showAll="0"/>
    <pivotField showAll="0">
      <items count="5">
        <item h="1" x="3"/>
        <item x="0"/>
        <item h="1" x="2"/>
        <item h="1" x="1"/>
        <item t="default"/>
      </items>
    </pivotField>
    <pivotField axis="axisRow" showAll="0">
      <items count="5">
        <item x="0"/>
        <item h="1" x="1"/>
        <item h="1" x="3"/>
        <item h="1"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pivotFields>
  <rowFields count="1">
    <field x="3"/>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92A45-2700-4FFF-AB3C-73A2B5527977}"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C12:D23" firstHeaderRow="1" firstDataRow="1" firstDataCol="1"/>
  <pivotFields count="11">
    <pivotField showAll="0"/>
    <pivotField showAll="0"/>
    <pivotField showAll="0">
      <items count="5">
        <item h="1" x="3"/>
        <item x="0"/>
        <item h="1" x="2"/>
        <item h="1" x="1"/>
        <item t="default"/>
      </items>
    </pivotField>
    <pivotField showAll="0">
      <items count="5">
        <item x="0"/>
        <item h="1" x="1"/>
        <item h="1" x="3"/>
        <item h="1" x="2"/>
        <item t="default"/>
      </items>
    </pivotField>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A2DB81-4EB9-476A-94A0-50E54232720B}"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15:F20" firstHeaderRow="1" firstDataRow="1" firstDataCol="1"/>
  <pivotFields count="11">
    <pivotField showAll="0"/>
    <pivotField showAll="0"/>
    <pivotField axis="axisRow" showAll="0">
      <items count="5">
        <item x="3"/>
        <item x="0"/>
        <item x="2"/>
        <item x="1"/>
        <item t="default"/>
      </items>
    </pivotField>
    <pivotField showAll="0">
      <items count="5">
        <item x="0"/>
        <item h="1" x="1"/>
        <item h="1" x="3"/>
        <item h="1"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defaultSubtotal="0"/>
  </pivotFields>
  <rowFields count="1">
    <field x="2"/>
  </rowFields>
  <rowItems count="5">
    <i>
      <x/>
    </i>
    <i>
      <x v="1"/>
    </i>
    <i>
      <x v="2"/>
    </i>
    <i>
      <x v="3"/>
    </i>
    <i t="grand">
      <x/>
    </i>
  </rowItems>
  <colItems count="1">
    <i/>
  </colItems>
  <dataFields count="1">
    <dataField name="Sum of Profit" fld="9" baseField="0" baseItem="0"/>
  </dataFields>
  <chartFormats count="6">
    <chartFormat chart="0" format="0"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2" count="1" selected="0">
            <x v="0"/>
          </reference>
        </references>
      </pivotArea>
    </chartFormat>
    <chartFormat chart="7" format="22">
      <pivotArea type="data" outline="0" fieldPosition="0">
        <references count="2">
          <reference field="4294967294" count="1" selected="0">
            <x v="0"/>
          </reference>
          <reference field="2" count="1" selected="0">
            <x v="1"/>
          </reference>
        </references>
      </pivotArea>
    </chartFormat>
    <chartFormat chart="7" format="23">
      <pivotArea type="data" outline="0" fieldPosition="0">
        <references count="2">
          <reference field="4294967294" count="1" selected="0">
            <x v="0"/>
          </reference>
          <reference field="2" count="1" selected="0">
            <x v="2"/>
          </reference>
        </references>
      </pivotArea>
    </chartFormat>
    <chartFormat chart="7"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42D00E-0C36-4F47-B93D-4C1A32614758}"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3:B22" firstHeaderRow="1" firstDataRow="1" firstDataCol="1"/>
  <pivotFields count="11">
    <pivotField showAll="0"/>
    <pivotField showAll="0"/>
    <pivotField showAll="0">
      <items count="5">
        <item h="1" x="3"/>
        <item x="0"/>
        <item h="1" x="2"/>
        <item h="1" x="1"/>
        <item t="default"/>
      </items>
    </pivotField>
    <pivotField showAll="0">
      <items count="5">
        <item x="0"/>
        <item h="1" x="1"/>
        <item h="1" x="3"/>
        <item h="1"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BC0056-5693-4B23-94F4-8334F9C80A5F}"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G5:H10" firstHeaderRow="1" firstDataRow="1" firstDataCol="1"/>
  <pivotFields count="11">
    <pivotField showAll="0"/>
    <pivotField showAll="0"/>
    <pivotField axis="axisRow" showAll="0">
      <items count="5">
        <item x="3"/>
        <item x="0"/>
        <item x="2"/>
        <item x="1"/>
        <item t="default"/>
      </items>
    </pivotField>
    <pivotField showAll="0">
      <items count="5">
        <item x="0"/>
        <item h="1" x="1"/>
        <item h="1" x="3"/>
        <item h="1"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pivotFields>
  <rowFields count="1">
    <field x="2"/>
  </rowFields>
  <rowItems count="5">
    <i>
      <x/>
    </i>
    <i>
      <x v="1"/>
    </i>
    <i>
      <x v="2"/>
    </i>
    <i>
      <x v="3"/>
    </i>
    <i t="grand">
      <x/>
    </i>
  </rowItems>
  <colItems count="1">
    <i/>
  </colItems>
  <dataFields count="1">
    <dataField name="Sum of Quantity"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49D117-935E-4EFC-AFE6-DE0D9EEF3446}"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BD8624-E7F3-4A6B-BF0B-752A1984A8CC}" sourceName="Category">
  <pivotTables>
    <pivotTable tabId="3" name="PivotTable3"/>
    <pivotTable tabId="3" name="PivotTable1"/>
    <pivotTable tabId="3" name="PivotTable2"/>
    <pivotTable tabId="3" name="PivotTable4"/>
    <pivotTable tabId="3" name="PivotTable5"/>
    <pivotTable tabId="3" name="PivotTable6"/>
    <pivotTable tabId="3" name="PivotTable8"/>
    <pivotTable tabId="3" name="PivotTable9"/>
  </pivotTables>
  <data>
    <tabular pivotCacheId="1774163861">
      <items count="4">
        <i x="0"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5D9602-1E4E-4053-AC55-F6EEA4976C27}" cache="Slicer_Category" caption="Category"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23231C7-44E5-4738-8648-FA50DFE8EC7A}"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F58AEC-3237-49E6-A2DF-EC5362F7FCED}" name="sales_data_large" displayName="sales_data_large" ref="A1:J301" tableType="queryTable" totalsRowShown="0">
  <autoFilter ref="A1:J301" xr:uid="{B9F58AEC-3237-49E6-A2DF-EC5362F7FCED}"/>
  <tableColumns count="10">
    <tableColumn id="10" xr3:uid="{4C47DC2E-B094-4B22-B56B-E260399A9E14}" uniqueName="10" name="Customer ID" queryTableFieldId="10" dataDxfId="5"/>
    <tableColumn id="1" xr3:uid="{4E7FAD63-CB3C-4DB5-AE19-6A2F4F32764E}" uniqueName="1" name="Customer Name" queryTableFieldId="1" dataDxfId="4"/>
    <tableColumn id="2" xr3:uid="{ADAB39E4-56E4-45CC-A240-03B409727F39}" uniqueName="2" name="Region" queryTableFieldId="2" dataDxfId="3"/>
    <tableColumn id="3" xr3:uid="{91B26B25-20B9-4147-8356-BFE3176EB7CF}" uniqueName="3" name="Category" queryTableFieldId="3" dataDxfId="2"/>
    <tableColumn id="4" xr3:uid="{BDA57A32-2569-4F8C-AF71-436FF72EABB8}" uniqueName="4" name="Product" queryTableFieldId="4" dataDxfId="1"/>
    <tableColumn id="5" xr3:uid="{1D75B8D2-CE32-41AD-AD4E-53892C8CE310}" uniqueName="5" name="Quantity" queryTableFieldId="5"/>
    <tableColumn id="6" xr3:uid="{709706A1-EE5E-40B9-A925-35CD8FC8ADFE}" uniqueName="6" name="Unit Price" queryTableFieldId="6"/>
    <tableColumn id="7" xr3:uid="{88635560-F6B3-4FEF-8AE7-EE621ABFCEA5}" uniqueName="7" name="Date" queryTableFieldId="7" dataDxfId="0"/>
    <tableColumn id="8" xr3:uid="{E1541033-3EA7-4F0E-B9E9-27868C393A31}" uniqueName="8" name="Total Sales" queryTableFieldId="8"/>
    <tableColumn id="9" xr3:uid="{58203F51-B90B-44C6-9655-DFB9443EDB0A}"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C6E0574-0398-489A-95BD-C6D6AF63715B}" sourceName="Date">
  <pivotTables>
    <pivotTable tabId="3" name="PivotTable4"/>
    <pivotTable tabId="3" name="PivotTable1"/>
    <pivotTable tabId="3" name="PivotTable2"/>
    <pivotTable tabId="3" name="PivotTable3"/>
    <pivotTable tabId="3" name="PivotTable5"/>
    <pivotTable tabId="3" name="PivotTable6"/>
    <pivotTable tabId="3" name="PivotTable8"/>
    <pivotTable tabId="3" name="PivotTable9"/>
  </pivotTables>
  <state minimalRefreshVersion="6" lastRefreshVersion="6" pivotCacheId="177416386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8705AC-275B-488B-8FDC-B663B1F16639}" cache="NativeTimeline_Date" caption="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5D31E-7D0C-42A5-ABE9-F4EE91ACB697}">
  <dimension ref="A1:J301"/>
  <sheetViews>
    <sheetView workbookViewId="0">
      <selection sqref="A1:J301"/>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101</v>
      </c>
      <c r="B2" t="s">
        <v>10</v>
      </c>
      <c r="C2" t="s">
        <v>11</v>
      </c>
      <c r="D2" t="s">
        <v>12</v>
      </c>
      <c r="E2" t="s">
        <v>13</v>
      </c>
      <c r="F2">
        <v>1</v>
      </c>
      <c r="G2">
        <v>13875</v>
      </c>
      <c r="H2" s="1">
        <v>44927</v>
      </c>
      <c r="I2">
        <v>13875</v>
      </c>
      <c r="J2">
        <v>2775</v>
      </c>
    </row>
    <row r="3" spans="1:10" x14ac:dyDescent="0.25">
      <c r="A3">
        <v>102</v>
      </c>
      <c r="B3" t="s">
        <v>14</v>
      </c>
      <c r="C3" t="s">
        <v>15</v>
      </c>
      <c r="D3" t="s">
        <v>16</v>
      </c>
      <c r="E3" t="s">
        <v>17</v>
      </c>
      <c r="F3">
        <v>6</v>
      </c>
      <c r="G3">
        <v>2622</v>
      </c>
      <c r="H3" s="1">
        <v>44928</v>
      </c>
      <c r="I3">
        <v>15732</v>
      </c>
      <c r="J3">
        <v>524.4</v>
      </c>
    </row>
    <row r="4" spans="1:10" x14ac:dyDescent="0.25">
      <c r="A4">
        <v>103</v>
      </c>
      <c r="B4" t="s">
        <v>18</v>
      </c>
      <c r="C4" t="s">
        <v>11</v>
      </c>
      <c r="D4" t="s">
        <v>19</v>
      </c>
      <c r="E4" t="s">
        <v>20</v>
      </c>
      <c r="F4">
        <v>5</v>
      </c>
      <c r="G4">
        <v>49756</v>
      </c>
      <c r="H4" s="1">
        <v>44929</v>
      </c>
      <c r="I4">
        <v>248780</v>
      </c>
      <c r="J4">
        <v>9951.2000000000007</v>
      </c>
    </row>
    <row r="5" spans="1:10" x14ac:dyDescent="0.25">
      <c r="A5">
        <v>104</v>
      </c>
      <c r="B5" t="s">
        <v>21</v>
      </c>
      <c r="C5" t="s">
        <v>11</v>
      </c>
      <c r="D5" t="s">
        <v>22</v>
      </c>
      <c r="E5" t="s">
        <v>23</v>
      </c>
      <c r="F5">
        <v>4</v>
      </c>
      <c r="G5">
        <v>41809</v>
      </c>
      <c r="H5" s="1">
        <v>44930</v>
      </c>
      <c r="I5">
        <v>167236</v>
      </c>
      <c r="J5">
        <v>8361.7999999999993</v>
      </c>
    </row>
    <row r="6" spans="1:10" x14ac:dyDescent="0.25">
      <c r="A6">
        <v>105</v>
      </c>
      <c r="B6" t="s">
        <v>10</v>
      </c>
      <c r="C6" t="s">
        <v>24</v>
      </c>
      <c r="D6" t="s">
        <v>19</v>
      </c>
      <c r="E6" t="s">
        <v>20</v>
      </c>
      <c r="F6">
        <v>3</v>
      </c>
      <c r="G6">
        <v>17725</v>
      </c>
      <c r="H6" s="1">
        <v>44931</v>
      </c>
      <c r="I6">
        <v>53175</v>
      </c>
      <c r="J6">
        <v>3545</v>
      </c>
    </row>
    <row r="7" spans="1:10" x14ac:dyDescent="0.25">
      <c r="A7">
        <v>106</v>
      </c>
      <c r="B7" t="s">
        <v>25</v>
      </c>
      <c r="C7" t="s">
        <v>11</v>
      </c>
      <c r="D7" t="s">
        <v>22</v>
      </c>
      <c r="E7" t="s">
        <v>13</v>
      </c>
      <c r="F7">
        <v>1</v>
      </c>
      <c r="G7">
        <v>41760</v>
      </c>
      <c r="H7" s="1">
        <v>44932</v>
      </c>
      <c r="I7">
        <v>41760</v>
      </c>
      <c r="J7">
        <v>8352</v>
      </c>
    </row>
    <row r="8" spans="1:10" x14ac:dyDescent="0.25">
      <c r="A8">
        <v>107</v>
      </c>
      <c r="B8" t="s">
        <v>26</v>
      </c>
      <c r="C8" t="s">
        <v>27</v>
      </c>
      <c r="D8" t="s">
        <v>12</v>
      </c>
      <c r="E8" t="s">
        <v>13</v>
      </c>
      <c r="F8">
        <v>6</v>
      </c>
      <c r="G8">
        <v>16646</v>
      </c>
      <c r="H8" s="1">
        <v>44933</v>
      </c>
      <c r="I8">
        <v>99876</v>
      </c>
      <c r="J8">
        <v>3329.2</v>
      </c>
    </row>
    <row r="9" spans="1:10" x14ac:dyDescent="0.25">
      <c r="A9">
        <v>108</v>
      </c>
      <c r="B9" t="s">
        <v>10</v>
      </c>
      <c r="C9" t="s">
        <v>27</v>
      </c>
      <c r="D9" t="s">
        <v>22</v>
      </c>
      <c r="E9" t="s">
        <v>13</v>
      </c>
      <c r="F9">
        <v>2</v>
      </c>
      <c r="G9">
        <v>18029</v>
      </c>
      <c r="H9" s="1">
        <v>44934</v>
      </c>
      <c r="I9">
        <v>36058</v>
      </c>
      <c r="J9">
        <v>3605.8</v>
      </c>
    </row>
    <row r="10" spans="1:10" x14ac:dyDescent="0.25">
      <c r="A10">
        <v>109</v>
      </c>
      <c r="B10" t="s">
        <v>18</v>
      </c>
      <c r="C10" t="s">
        <v>15</v>
      </c>
      <c r="D10" t="s">
        <v>12</v>
      </c>
      <c r="E10" t="s">
        <v>28</v>
      </c>
      <c r="F10">
        <v>8</v>
      </c>
      <c r="G10">
        <v>30402</v>
      </c>
      <c r="H10" s="1">
        <v>44935</v>
      </c>
      <c r="I10">
        <v>243216</v>
      </c>
      <c r="J10">
        <v>6080.4</v>
      </c>
    </row>
    <row r="11" spans="1:10" x14ac:dyDescent="0.25">
      <c r="A11">
        <v>110</v>
      </c>
      <c r="B11" t="s">
        <v>21</v>
      </c>
      <c r="C11" t="s">
        <v>11</v>
      </c>
      <c r="D11" t="s">
        <v>22</v>
      </c>
      <c r="E11" t="s">
        <v>28</v>
      </c>
      <c r="F11">
        <v>5</v>
      </c>
      <c r="G11">
        <v>5263</v>
      </c>
      <c r="H11" s="1">
        <v>44936</v>
      </c>
      <c r="I11">
        <v>26315</v>
      </c>
      <c r="J11">
        <v>1052.5999999999999</v>
      </c>
    </row>
    <row r="12" spans="1:10" x14ac:dyDescent="0.25">
      <c r="A12">
        <v>111</v>
      </c>
      <c r="B12" t="s">
        <v>14</v>
      </c>
      <c r="C12" t="s">
        <v>15</v>
      </c>
      <c r="D12" t="s">
        <v>12</v>
      </c>
      <c r="E12" t="s">
        <v>29</v>
      </c>
      <c r="F12">
        <v>7</v>
      </c>
      <c r="G12">
        <v>31987</v>
      </c>
      <c r="H12" s="1">
        <v>44937</v>
      </c>
      <c r="I12">
        <v>223909</v>
      </c>
      <c r="J12">
        <v>6397.4</v>
      </c>
    </row>
    <row r="13" spans="1:10" x14ac:dyDescent="0.25">
      <c r="A13">
        <v>112</v>
      </c>
      <c r="B13" t="s">
        <v>18</v>
      </c>
      <c r="C13" t="s">
        <v>27</v>
      </c>
      <c r="D13" t="s">
        <v>22</v>
      </c>
      <c r="E13" t="s">
        <v>29</v>
      </c>
      <c r="F13">
        <v>2</v>
      </c>
      <c r="G13">
        <v>47828</v>
      </c>
      <c r="H13" s="1">
        <v>44938</v>
      </c>
      <c r="I13">
        <v>95656</v>
      </c>
      <c r="J13">
        <v>9565.6</v>
      </c>
    </row>
    <row r="14" spans="1:10" x14ac:dyDescent="0.25">
      <c r="A14">
        <v>113</v>
      </c>
      <c r="B14" t="s">
        <v>18</v>
      </c>
      <c r="C14" t="s">
        <v>11</v>
      </c>
      <c r="D14" t="s">
        <v>16</v>
      </c>
      <c r="E14" t="s">
        <v>13</v>
      </c>
      <c r="F14">
        <v>8</v>
      </c>
      <c r="G14">
        <v>48924</v>
      </c>
      <c r="H14" s="1">
        <v>44939</v>
      </c>
      <c r="I14">
        <v>391392</v>
      </c>
      <c r="J14">
        <v>9784.7999999999993</v>
      </c>
    </row>
    <row r="15" spans="1:10" x14ac:dyDescent="0.25">
      <c r="A15">
        <v>114</v>
      </c>
      <c r="B15" t="s">
        <v>26</v>
      </c>
      <c r="C15" t="s">
        <v>11</v>
      </c>
      <c r="D15" t="s">
        <v>22</v>
      </c>
      <c r="E15" t="s">
        <v>17</v>
      </c>
      <c r="F15">
        <v>2</v>
      </c>
      <c r="G15">
        <v>9646</v>
      </c>
      <c r="H15" s="1">
        <v>44940</v>
      </c>
      <c r="I15">
        <v>19292</v>
      </c>
      <c r="J15">
        <v>1929.2</v>
      </c>
    </row>
    <row r="16" spans="1:10" x14ac:dyDescent="0.25">
      <c r="A16">
        <v>115</v>
      </c>
      <c r="B16" t="s">
        <v>30</v>
      </c>
      <c r="C16" t="s">
        <v>15</v>
      </c>
      <c r="D16" t="s">
        <v>22</v>
      </c>
      <c r="E16" t="s">
        <v>31</v>
      </c>
      <c r="F16">
        <v>4</v>
      </c>
      <c r="G16">
        <v>28529</v>
      </c>
      <c r="H16" s="1">
        <v>44941</v>
      </c>
      <c r="I16">
        <v>114116</v>
      </c>
      <c r="J16">
        <v>5705.8</v>
      </c>
    </row>
    <row r="17" spans="1:10" x14ac:dyDescent="0.25">
      <c r="A17">
        <v>116</v>
      </c>
      <c r="B17" t="s">
        <v>21</v>
      </c>
      <c r="C17" t="s">
        <v>27</v>
      </c>
      <c r="D17" t="s">
        <v>16</v>
      </c>
      <c r="E17" t="s">
        <v>28</v>
      </c>
      <c r="F17">
        <v>1</v>
      </c>
      <c r="G17">
        <v>12664</v>
      </c>
      <c r="H17" s="1">
        <v>44942</v>
      </c>
      <c r="I17">
        <v>12664</v>
      </c>
      <c r="J17">
        <v>2532.8000000000002</v>
      </c>
    </row>
    <row r="18" spans="1:10" x14ac:dyDescent="0.25">
      <c r="A18">
        <v>117</v>
      </c>
      <c r="B18" t="s">
        <v>32</v>
      </c>
      <c r="C18" t="s">
        <v>11</v>
      </c>
      <c r="D18" t="s">
        <v>19</v>
      </c>
      <c r="E18" t="s">
        <v>17</v>
      </c>
      <c r="F18">
        <v>5</v>
      </c>
      <c r="G18">
        <v>36737</v>
      </c>
      <c r="H18" s="1">
        <v>44943</v>
      </c>
      <c r="I18">
        <v>183685</v>
      </c>
      <c r="J18">
        <v>7347.4</v>
      </c>
    </row>
    <row r="19" spans="1:10" x14ac:dyDescent="0.25">
      <c r="A19">
        <v>118</v>
      </c>
      <c r="B19" t="s">
        <v>18</v>
      </c>
      <c r="C19" t="s">
        <v>15</v>
      </c>
      <c r="D19" t="s">
        <v>19</v>
      </c>
      <c r="E19" t="s">
        <v>33</v>
      </c>
      <c r="F19">
        <v>9</v>
      </c>
      <c r="G19">
        <v>36796</v>
      </c>
      <c r="H19" s="1">
        <v>44944</v>
      </c>
      <c r="I19">
        <v>331164</v>
      </c>
      <c r="J19">
        <v>7359.2</v>
      </c>
    </row>
    <row r="20" spans="1:10" x14ac:dyDescent="0.25">
      <c r="A20">
        <v>119</v>
      </c>
      <c r="B20" t="s">
        <v>30</v>
      </c>
      <c r="C20" t="s">
        <v>27</v>
      </c>
      <c r="D20" t="s">
        <v>22</v>
      </c>
      <c r="E20" t="s">
        <v>28</v>
      </c>
      <c r="F20">
        <v>1</v>
      </c>
      <c r="G20">
        <v>25027</v>
      </c>
      <c r="H20" s="1">
        <v>44945</v>
      </c>
      <c r="I20">
        <v>25027</v>
      </c>
      <c r="J20">
        <v>5005.3999999999996</v>
      </c>
    </row>
    <row r="21" spans="1:10" x14ac:dyDescent="0.25">
      <c r="A21">
        <v>120</v>
      </c>
      <c r="B21" t="s">
        <v>32</v>
      </c>
      <c r="C21" t="s">
        <v>15</v>
      </c>
      <c r="D21" t="s">
        <v>16</v>
      </c>
      <c r="E21" t="s">
        <v>28</v>
      </c>
      <c r="F21">
        <v>9</v>
      </c>
      <c r="G21">
        <v>30373</v>
      </c>
      <c r="H21" s="1">
        <v>44946</v>
      </c>
      <c r="I21">
        <v>273357</v>
      </c>
      <c r="J21">
        <v>6074.6</v>
      </c>
    </row>
    <row r="22" spans="1:10" x14ac:dyDescent="0.25">
      <c r="A22">
        <v>121</v>
      </c>
      <c r="B22" t="s">
        <v>21</v>
      </c>
      <c r="C22" t="s">
        <v>24</v>
      </c>
      <c r="D22" t="s">
        <v>22</v>
      </c>
      <c r="E22" t="s">
        <v>29</v>
      </c>
      <c r="F22">
        <v>8</v>
      </c>
      <c r="G22">
        <v>37397</v>
      </c>
      <c r="H22" s="1">
        <v>44947</v>
      </c>
      <c r="I22">
        <v>299176</v>
      </c>
      <c r="J22">
        <v>7479.4</v>
      </c>
    </row>
    <row r="23" spans="1:10" x14ac:dyDescent="0.25">
      <c r="A23">
        <v>122</v>
      </c>
      <c r="B23" t="s">
        <v>34</v>
      </c>
      <c r="C23" t="s">
        <v>11</v>
      </c>
      <c r="D23" t="s">
        <v>12</v>
      </c>
      <c r="E23" t="s">
        <v>31</v>
      </c>
      <c r="F23">
        <v>6</v>
      </c>
      <c r="G23">
        <v>21609</v>
      </c>
      <c r="H23" s="1">
        <v>44948</v>
      </c>
      <c r="I23">
        <v>129654</v>
      </c>
      <c r="J23">
        <v>4321.8</v>
      </c>
    </row>
    <row r="24" spans="1:10" x14ac:dyDescent="0.25">
      <c r="A24">
        <v>123</v>
      </c>
      <c r="B24" t="s">
        <v>25</v>
      </c>
      <c r="C24" t="s">
        <v>24</v>
      </c>
      <c r="D24" t="s">
        <v>12</v>
      </c>
      <c r="E24" t="s">
        <v>31</v>
      </c>
      <c r="F24">
        <v>7</v>
      </c>
      <c r="G24">
        <v>36835</v>
      </c>
      <c r="H24" s="1">
        <v>44949</v>
      </c>
      <c r="I24">
        <v>257845</v>
      </c>
      <c r="J24">
        <v>7367</v>
      </c>
    </row>
    <row r="25" spans="1:10" x14ac:dyDescent="0.25">
      <c r="A25">
        <v>124</v>
      </c>
      <c r="B25" t="s">
        <v>30</v>
      </c>
      <c r="C25" t="s">
        <v>27</v>
      </c>
      <c r="D25" t="s">
        <v>22</v>
      </c>
      <c r="E25" t="s">
        <v>23</v>
      </c>
      <c r="F25">
        <v>3</v>
      </c>
      <c r="G25">
        <v>39709</v>
      </c>
      <c r="H25" s="1">
        <v>44950</v>
      </c>
      <c r="I25">
        <v>119127</v>
      </c>
      <c r="J25">
        <v>7941.8</v>
      </c>
    </row>
    <row r="26" spans="1:10" x14ac:dyDescent="0.25">
      <c r="A26">
        <v>125</v>
      </c>
      <c r="B26" t="s">
        <v>35</v>
      </c>
      <c r="C26" t="s">
        <v>24</v>
      </c>
      <c r="D26" t="s">
        <v>19</v>
      </c>
      <c r="E26" t="s">
        <v>20</v>
      </c>
      <c r="F26">
        <v>1</v>
      </c>
      <c r="G26">
        <v>20250</v>
      </c>
      <c r="H26" s="1">
        <v>44951</v>
      </c>
      <c r="I26">
        <v>20250</v>
      </c>
      <c r="J26">
        <v>4050</v>
      </c>
    </row>
    <row r="27" spans="1:10" x14ac:dyDescent="0.25">
      <c r="A27">
        <v>126</v>
      </c>
      <c r="B27" t="s">
        <v>34</v>
      </c>
      <c r="C27" t="s">
        <v>24</v>
      </c>
      <c r="D27" t="s">
        <v>19</v>
      </c>
      <c r="E27" t="s">
        <v>20</v>
      </c>
      <c r="F27">
        <v>5</v>
      </c>
      <c r="G27">
        <v>22172</v>
      </c>
      <c r="H27" s="1">
        <v>44952</v>
      </c>
      <c r="I27">
        <v>110860</v>
      </c>
      <c r="J27">
        <v>4434.3999999999996</v>
      </c>
    </row>
    <row r="28" spans="1:10" x14ac:dyDescent="0.25">
      <c r="A28">
        <v>127</v>
      </c>
      <c r="B28" t="s">
        <v>25</v>
      </c>
      <c r="C28" t="s">
        <v>27</v>
      </c>
      <c r="D28" t="s">
        <v>22</v>
      </c>
      <c r="E28" t="s">
        <v>20</v>
      </c>
      <c r="F28">
        <v>2</v>
      </c>
      <c r="G28">
        <v>12555</v>
      </c>
      <c r="H28" s="1">
        <v>44953</v>
      </c>
      <c r="I28">
        <v>25110</v>
      </c>
      <c r="J28">
        <v>2511</v>
      </c>
    </row>
    <row r="29" spans="1:10" x14ac:dyDescent="0.25">
      <c r="A29">
        <v>128</v>
      </c>
      <c r="B29" t="s">
        <v>26</v>
      </c>
      <c r="C29" t="s">
        <v>15</v>
      </c>
      <c r="D29" t="s">
        <v>22</v>
      </c>
      <c r="E29" t="s">
        <v>20</v>
      </c>
      <c r="F29">
        <v>5</v>
      </c>
      <c r="G29">
        <v>22874</v>
      </c>
      <c r="H29" s="1">
        <v>44954</v>
      </c>
      <c r="I29">
        <v>114370</v>
      </c>
      <c r="J29">
        <v>4574.8</v>
      </c>
    </row>
    <row r="30" spans="1:10" x14ac:dyDescent="0.25">
      <c r="A30">
        <v>129</v>
      </c>
      <c r="B30" t="s">
        <v>10</v>
      </c>
      <c r="C30" t="s">
        <v>24</v>
      </c>
      <c r="D30" t="s">
        <v>12</v>
      </c>
      <c r="E30" t="s">
        <v>33</v>
      </c>
      <c r="F30">
        <v>8</v>
      </c>
      <c r="G30">
        <v>14081</v>
      </c>
      <c r="H30" s="1">
        <v>44955</v>
      </c>
      <c r="I30">
        <v>112648</v>
      </c>
      <c r="J30">
        <v>2816.2</v>
      </c>
    </row>
    <row r="31" spans="1:10" x14ac:dyDescent="0.25">
      <c r="A31">
        <v>130</v>
      </c>
      <c r="B31" t="s">
        <v>14</v>
      </c>
      <c r="C31" t="s">
        <v>15</v>
      </c>
      <c r="D31" t="s">
        <v>19</v>
      </c>
      <c r="E31" t="s">
        <v>33</v>
      </c>
      <c r="F31">
        <v>9</v>
      </c>
      <c r="G31">
        <v>25063</v>
      </c>
      <c r="H31" s="1">
        <v>44956</v>
      </c>
      <c r="I31">
        <v>225567</v>
      </c>
      <c r="J31">
        <v>5012.6000000000004</v>
      </c>
    </row>
    <row r="32" spans="1:10" x14ac:dyDescent="0.25">
      <c r="A32">
        <v>131</v>
      </c>
      <c r="B32" t="s">
        <v>35</v>
      </c>
      <c r="C32" t="s">
        <v>24</v>
      </c>
      <c r="D32" t="s">
        <v>22</v>
      </c>
      <c r="E32" t="s">
        <v>28</v>
      </c>
      <c r="F32">
        <v>2</v>
      </c>
      <c r="G32">
        <v>7819</v>
      </c>
      <c r="H32" s="1">
        <v>44957</v>
      </c>
      <c r="I32">
        <v>15638</v>
      </c>
      <c r="J32">
        <v>1563.8</v>
      </c>
    </row>
    <row r="33" spans="1:10" x14ac:dyDescent="0.25">
      <c r="A33">
        <v>132</v>
      </c>
      <c r="B33" t="s">
        <v>26</v>
      </c>
      <c r="C33" t="s">
        <v>15</v>
      </c>
      <c r="D33" t="s">
        <v>12</v>
      </c>
      <c r="E33" t="s">
        <v>13</v>
      </c>
      <c r="F33">
        <v>3</v>
      </c>
      <c r="G33">
        <v>26712</v>
      </c>
      <c r="H33" s="1">
        <v>44958</v>
      </c>
      <c r="I33">
        <v>80136</v>
      </c>
      <c r="J33">
        <v>5342.4</v>
      </c>
    </row>
    <row r="34" spans="1:10" x14ac:dyDescent="0.25">
      <c r="A34">
        <v>133</v>
      </c>
      <c r="B34" t="s">
        <v>21</v>
      </c>
      <c r="C34" t="s">
        <v>27</v>
      </c>
      <c r="D34" t="s">
        <v>19</v>
      </c>
      <c r="E34" t="s">
        <v>29</v>
      </c>
      <c r="F34">
        <v>3</v>
      </c>
      <c r="G34">
        <v>25762</v>
      </c>
      <c r="H34" s="1">
        <v>44959</v>
      </c>
      <c r="I34">
        <v>77286</v>
      </c>
      <c r="J34">
        <v>5152.3999999999996</v>
      </c>
    </row>
    <row r="35" spans="1:10" x14ac:dyDescent="0.25">
      <c r="A35">
        <v>134</v>
      </c>
      <c r="B35" t="s">
        <v>26</v>
      </c>
      <c r="C35" t="s">
        <v>24</v>
      </c>
      <c r="D35" t="s">
        <v>16</v>
      </c>
      <c r="E35" t="s">
        <v>29</v>
      </c>
      <c r="F35">
        <v>1</v>
      </c>
      <c r="G35">
        <v>12046</v>
      </c>
      <c r="H35" s="1">
        <v>44960</v>
      </c>
      <c r="I35">
        <v>12046</v>
      </c>
      <c r="J35">
        <v>2409.1999999999998</v>
      </c>
    </row>
    <row r="36" spans="1:10" x14ac:dyDescent="0.25">
      <c r="A36">
        <v>135</v>
      </c>
      <c r="B36" t="s">
        <v>10</v>
      </c>
      <c r="C36" t="s">
        <v>27</v>
      </c>
      <c r="D36" t="s">
        <v>12</v>
      </c>
      <c r="E36" t="s">
        <v>20</v>
      </c>
      <c r="F36">
        <v>8</v>
      </c>
      <c r="G36">
        <v>32463</v>
      </c>
      <c r="H36" s="1">
        <v>44961</v>
      </c>
      <c r="I36">
        <v>259704</v>
      </c>
      <c r="J36">
        <v>6492.6</v>
      </c>
    </row>
    <row r="37" spans="1:10" x14ac:dyDescent="0.25">
      <c r="A37">
        <v>136</v>
      </c>
      <c r="B37" t="s">
        <v>21</v>
      </c>
      <c r="C37" t="s">
        <v>24</v>
      </c>
      <c r="D37" t="s">
        <v>19</v>
      </c>
      <c r="E37" t="s">
        <v>28</v>
      </c>
      <c r="F37">
        <v>6</v>
      </c>
      <c r="G37">
        <v>29769</v>
      </c>
      <c r="H37" s="1">
        <v>44962</v>
      </c>
      <c r="I37">
        <v>178614</v>
      </c>
      <c r="J37">
        <v>5953.8</v>
      </c>
    </row>
    <row r="38" spans="1:10" x14ac:dyDescent="0.25">
      <c r="A38">
        <v>137</v>
      </c>
      <c r="B38" t="s">
        <v>35</v>
      </c>
      <c r="C38" t="s">
        <v>27</v>
      </c>
      <c r="D38" t="s">
        <v>19</v>
      </c>
      <c r="E38" t="s">
        <v>23</v>
      </c>
      <c r="F38">
        <v>8</v>
      </c>
      <c r="G38">
        <v>24150</v>
      </c>
      <c r="H38" s="1">
        <v>44963</v>
      </c>
      <c r="I38">
        <v>193200</v>
      </c>
      <c r="J38">
        <v>4830</v>
      </c>
    </row>
    <row r="39" spans="1:10" x14ac:dyDescent="0.25">
      <c r="A39">
        <v>138</v>
      </c>
      <c r="B39" t="s">
        <v>10</v>
      </c>
      <c r="C39" t="s">
        <v>27</v>
      </c>
      <c r="D39" t="s">
        <v>12</v>
      </c>
      <c r="E39" t="s">
        <v>17</v>
      </c>
      <c r="F39">
        <v>9</v>
      </c>
      <c r="G39">
        <v>3711</v>
      </c>
      <c r="H39" s="1">
        <v>44964</v>
      </c>
      <c r="I39">
        <v>33399</v>
      </c>
      <c r="J39">
        <v>742.2</v>
      </c>
    </row>
    <row r="40" spans="1:10" x14ac:dyDescent="0.25">
      <c r="A40">
        <v>139</v>
      </c>
      <c r="B40" t="s">
        <v>32</v>
      </c>
      <c r="C40" t="s">
        <v>24</v>
      </c>
      <c r="D40" t="s">
        <v>16</v>
      </c>
      <c r="E40" t="s">
        <v>13</v>
      </c>
      <c r="F40">
        <v>5</v>
      </c>
      <c r="G40">
        <v>5853</v>
      </c>
      <c r="H40" s="1">
        <v>44965</v>
      </c>
      <c r="I40">
        <v>29265</v>
      </c>
      <c r="J40">
        <v>1170.5999999999999</v>
      </c>
    </row>
    <row r="41" spans="1:10" x14ac:dyDescent="0.25">
      <c r="A41">
        <v>140</v>
      </c>
      <c r="B41" t="s">
        <v>14</v>
      </c>
      <c r="C41" t="s">
        <v>24</v>
      </c>
      <c r="D41" t="s">
        <v>12</v>
      </c>
      <c r="E41" t="s">
        <v>28</v>
      </c>
      <c r="F41">
        <v>3</v>
      </c>
      <c r="G41">
        <v>30077</v>
      </c>
      <c r="H41" s="1">
        <v>44966</v>
      </c>
      <c r="I41">
        <v>90231</v>
      </c>
      <c r="J41">
        <v>6015.4</v>
      </c>
    </row>
    <row r="42" spans="1:10" x14ac:dyDescent="0.25">
      <c r="A42">
        <v>141</v>
      </c>
      <c r="B42" t="s">
        <v>35</v>
      </c>
      <c r="C42" t="s">
        <v>24</v>
      </c>
      <c r="D42" t="s">
        <v>19</v>
      </c>
      <c r="E42" t="s">
        <v>13</v>
      </c>
      <c r="F42">
        <v>5</v>
      </c>
      <c r="G42">
        <v>24863</v>
      </c>
      <c r="H42" s="1">
        <v>44967</v>
      </c>
      <c r="I42">
        <v>124315</v>
      </c>
      <c r="J42">
        <v>4972.6000000000004</v>
      </c>
    </row>
    <row r="43" spans="1:10" x14ac:dyDescent="0.25">
      <c r="A43">
        <v>142</v>
      </c>
      <c r="B43" t="s">
        <v>32</v>
      </c>
      <c r="C43" t="s">
        <v>11</v>
      </c>
      <c r="D43" t="s">
        <v>22</v>
      </c>
      <c r="E43" t="s">
        <v>13</v>
      </c>
      <c r="F43">
        <v>5</v>
      </c>
      <c r="G43">
        <v>22792</v>
      </c>
      <c r="H43" s="1">
        <v>44968</v>
      </c>
      <c r="I43">
        <v>113960</v>
      </c>
      <c r="J43">
        <v>4558.3999999999996</v>
      </c>
    </row>
    <row r="44" spans="1:10" x14ac:dyDescent="0.25">
      <c r="A44">
        <v>143</v>
      </c>
      <c r="B44" t="s">
        <v>25</v>
      </c>
      <c r="C44" t="s">
        <v>15</v>
      </c>
      <c r="D44" t="s">
        <v>22</v>
      </c>
      <c r="E44" t="s">
        <v>13</v>
      </c>
      <c r="F44">
        <v>5</v>
      </c>
      <c r="G44">
        <v>41483</v>
      </c>
      <c r="H44" s="1">
        <v>44969</v>
      </c>
      <c r="I44">
        <v>207415</v>
      </c>
      <c r="J44">
        <v>8296.6</v>
      </c>
    </row>
    <row r="45" spans="1:10" x14ac:dyDescent="0.25">
      <c r="A45">
        <v>144</v>
      </c>
      <c r="B45" t="s">
        <v>35</v>
      </c>
      <c r="C45" t="s">
        <v>11</v>
      </c>
      <c r="D45" t="s">
        <v>12</v>
      </c>
      <c r="E45" t="s">
        <v>28</v>
      </c>
      <c r="F45">
        <v>3</v>
      </c>
      <c r="G45">
        <v>9942</v>
      </c>
      <c r="H45" s="1">
        <v>44970</v>
      </c>
      <c r="I45">
        <v>29826</v>
      </c>
      <c r="J45">
        <v>1988.4</v>
      </c>
    </row>
    <row r="46" spans="1:10" x14ac:dyDescent="0.25">
      <c r="A46">
        <v>145</v>
      </c>
      <c r="B46" t="s">
        <v>25</v>
      </c>
      <c r="C46" t="s">
        <v>11</v>
      </c>
      <c r="D46" t="s">
        <v>19</v>
      </c>
      <c r="E46" t="s">
        <v>20</v>
      </c>
      <c r="F46">
        <v>4</v>
      </c>
      <c r="G46">
        <v>49275</v>
      </c>
      <c r="H46" s="1">
        <v>44971</v>
      </c>
      <c r="I46">
        <v>197100</v>
      </c>
      <c r="J46">
        <v>9855</v>
      </c>
    </row>
    <row r="47" spans="1:10" x14ac:dyDescent="0.25">
      <c r="A47">
        <v>146</v>
      </c>
      <c r="B47" t="s">
        <v>21</v>
      </c>
      <c r="C47" t="s">
        <v>27</v>
      </c>
      <c r="D47" t="s">
        <v>22</v>
      </c>
      <c r="E47" t="s">
        <v>29</v>
      </c>
      <c r="F47">
        <v>9</v>
      </c>
      <c r="G47">
        <v>49594</v>
      </c>
      <c r="H47" s="1">
        <v>44972</v>
      </c>
      <c r="I47">
        <v>446346</v>
      </c>
      <c r="J47">
        <v>9918.7999999999993</v>
      </c>
    </row>
    <row r="48" spans="1:10" x14ac:dyDescent="0.25">
      <c r="A48">
        <v>147</v>
      </c>
      <c r="B48" t="s">
        <v>32</v>
      </c>
      <c r="C48" t="s">
        <v>24</v>
      </c>
      <c r="D48" t="s">
        <v>19</v>
      </c>
      <c r="E48" t="s">
        <v>29</v>
      </c>
      <c r="F48">
        <v>9</v>
      </c>
      <c r="G48">
        <v>2762</v>
      </c>
      <c r="H48" s="1">
        <v>44973</v>
      </c>
      <c r="I48">
        <v>24858</v>
      </c>
      <c r="J48">
        <v>552.4</v>
      </c>
    </row>
    <row r="49" spans="1:10" x14ac:dyDescent="0.25">
      <c r="A49">
        <v>148</v>
      </c>
      <c r="B49" t="s">
        <v>14</v>
      </c>
      <c r="C49" t="s">
        <v>15</v>
      </c>
      <c r="D49" t="s">
        <v>12</v>
      </c>
      <c r="E49" t="s">
        <v>20</v>
      </c>
      <c r="F49">
        <v>2</v>
      </c>
      <c r="G49">
        <v>32987</v>
      </c>
      <c r="H49" s="1">
        <v>44974</v>
      </c>
      <c r="I49">
        <v>65974</v>
      </c>
      <c r="J49">
        <v>6597.4</v>
      </c>
    </row>
    <row r="50" spans="1:10" x14ac:dyDescent="0.25">
      <c r="A50">
        <v>149</v>
      </c>
      <c r="B50" t="s">
        <v>10</v>
      </c>
      <c r="C50" t="s">
        <v>27</v>
      </c>
      <c r="D50" t="s">
        <v>22</v>
      </c>
      <c r="E50" t="s">
        <v>13</v>
      </c>
      <c r="F50">
        <v>8</v>
      </c>
      <c r="G50">
        <v>16850</v>
      </c>
      <c r="H50" s="1">
        <v>44975</v>
      </c>
      <c r="I50">
        <v>134800</v>
      </c>
      <c r="J50">
        <v>3370</v>
      </c>
    </row>
    <row r="51" spans="1:10" x14ac:dyDescent="0.25">
      <c r="A51">
        <v>150</v>
      </c>
      <c r="B51" t="s">
        <v>18</v>
      </c>
      <c r="C51" t="s">
        <v>11</v>
      </c>
      <c r="D51" t="s">
        <v>19</v>
      </c>
      <c r="E51" t="s">
        <v>17</v>
      </c>
      <c r="F51">
        <v>8</v>
      </c>
      <c r="G51">
        <v>13112</v>
      </c>
      <c r="H51" s="1">
        <v>44976</v>
      </c>
      <c r="I51">
        <v>104896</v>
      </c>
      <c r="J51">
        <v>2622.4</v>
      </c>
    </row>
    <row r="52" spans="1:10" x14ac:dyDescent="0.25">
      <c r="A52">
        <v>151</v>
      </c>
      <c r="B52" t="s">
        <v>26</v>
      </c>
      <c r="C52" t="s">
        <v>24</v>
      </c>
      <c r="D52" t="s">
        <v>22</v>
      </c>
      <c r="E52" t="s">
        <v>31</v>
      </c>
      <c r="F52">
        <v>7</v>
      </c>
      <c r="G52">
        <v>25058</v>
      </c>
      <c r="H52" s="1">
        <v>44977</v>
      </c>
      <c r="I52">
        <v>175406</v>
      </c>
      <c r="J52">
        <v>5011.6000000000004</v>
      </c>
    </row>
    <row r="53" spans="1:10" x14ac:dyDescent="0.25">
      <c r="A53">
        <v>152</v>
      </c>
      <c r="B53" t="s">
        <v>34</v>
      </c>
      <c r="C53" t="s">
        <v>27</v>
      </c>
      <c r="D53" t="s">
        <v>12</v>
      </c>
      <c r="E53" t="s">
        <v>28</v>
      </c>
      <c r="F53">
        <v>8</v>
      </c>
      <c r="G53">
        <v>46420</v>
      </c>
      <c r="H53" s="1">
        <v>44978</v>
      </c>
      <c r="I53">
        <v>371360</v>
      </c>
      <c r="J53">
        <v>9284</v>
      </c>
    </row>
    <row r="54" spans="1:10" x14ac:dyDescent="0.25">
      <c r="A54">
        <v>153</v>
      </c>
      <c r="B54" t="s">
        <v>14</v>
      </c>
      <c r="C54" t="s">
        <v>24</v>
      </c>
      <c r="D54" t="s">
        <v>19</v>
      </c>
      <c r="E54" t="s">
        <v>31</v>
      </c>
      <c r="F54">
        <v>3</v>
      </c>
      <c r="G54">
        <v>39890</v>
      </c>
      <c r="H54" s="1">
        <v>44979</v>
      </c>
      <c r="I54">
        <v>119670</v>
      </c>
      <c r="J54">
        <v>7978</v>
      </c>
    </row>
    <row r="55" spans="1:10" x14ac:dyDescent="0.25">
      <c r="A55">
        <v>154</v>
      </c>
      <c r="B55" t="s">
        <v>32</v>
      </c>
      <c r="C55" t="s">
        <v>27</v>
      </c>
      <c r="D55" t="s">
        <v>22</v>
      </c>
      <c r="E55" t="s">
        <v>23</v>
      </c>
      <c r="F55">
        <v>6</v>
      </c>
      <c r="G55">
        <v>1481</v>
      </c>
      <c r="H55" s="1">
        <v>44980</v>
      </c>
      <c r="I55">
        <v>8886</v>
      </c>
      <c r="J55">
        <v>296.2</v>
      </c>
    </row>
    <row r="56" spans="1:10" x14ac:dyDescent="0.25">
      <c r="A56">
        <v>155</v>
      </c>
      <c r="B56" t="s">
        <v>18</v>
      </c>
      <c r="C56" t="s">
        <v>24</v>
      </c>
      <c r="D56" t="s">
        <v>12</v>
      </c>
      <c r="E56" t="s">
        <v>20</v>
      </c>
      <c r="F56">
        <v>1</v>
      </c>
      <c r="G56">
        <v>48304</v>
      </c>
      <c r="H56" s="1">
        <v>44981</v>
      </c>
      <c r="I56">
        <v>48304</v>
      </c>
      <c r="J56">
        <v>9660.7999999999993</v>
      </c>
    </row>
    <row r="57" spans="1:10" x14ac:dyDescent="0.25">
      <c r="A57">
        <v>156</v>
      </c>
      <c r="B57" t="s">
        <v>14</v>
      </c>
      <c r="C57" t="s">
        <v>11</v>
      </c>
      <c r="D57" t="s">
        <v>22</v>
      </c>
      <c r="E57" t="s">
        <v>17</v>
      </c>
      <c r="F57">
        <v>7</v>
      </c>
      <c r="G57">
        <v>33921</v>
      </c>
      <c r="H57" s="1">
        <v>44982</v>
      </c>
      <c r="I57">
        <v>237447</v>
      </c>
      <c r="J57">
        <v>6784.2</v>
      </c>
    </row>
    <row r="58" spans="1:10" x14ac:dyDescent="0.25">
      <c r="A58">
        <v>157</v>
      </c>
      <c r="B58" t="s">
        <v>32</v>
      </c>
      <c r="C58" t="s">
        <v>15</v>
      </c>
      <c r="D58" t="s">
        <v>22</v>
      </c>
      <c r="E58" t="s">
        <v>28</v>
      </c>
      <c r="F58">
        <v>1</v>
      </c>
      <c r="G58">
        <v>41385</v>
      </c>
      <c r="H58" s="1">
        <v>44983</v>
      </c>
      <c r="I58">
        <v>41385</v>
      </c>
      <c r="J58">
        <v>8277</v>
      </c>
    </row>
    <row r="59" spans="1:10" x14ac:dyDescent="0.25">
      <c r="A59">
        <v>158</v>
      </c>
      <c r="B59" t="s">
        <v>30</v>
      </c>
      <c r="C59" t="s">
        <v>11</v>
      </c>
      <c r="D59" t="s">
        <v>16</v>
      </c>
      <c r="E59" t="s">
        <v>20</v>
      </c>
      <c r="F59">
        <v>9</v>
      </c>
      <c r="G59">
        <v>2524</v>
      </c>
      <c r="H59" s="1">
        <v>44984</v>
      </c>
      <c r="I59">
        <v>22716</v>
      </c>
      <c r="J59">
        <v>504.8</v>
      </c>
    </row>
    <row r="60" spans="1:10" x14ac:dyDescent="0.25">
      <c r="A60">
        <v>159</v>
      </c>
      <c r="B60" t="s">
        <v>30</v>
      </c>
      <c r="C60" t="s">
        <v>15</v>
      </c>
      <c r="D60" t="s">
        <v>16</v>
      </c>
      <c r="E60" t="s">
        <v>13</v>
      </c>
      <c r="F60">
        <v>1</v>
      </c>
      <c r="G60">
        <v>35888</v>
      </c>
      <c r="H60" s="1">
        <v>44985</v>
      </c>
      <c r="I60">
        <v>35888</v>
      </c>
      <c r="J60">
        <v>7177.6</v>
      </c>
    </row>
    <row r="61" spans="1:10" x14ac:dyDescent="0.25">
      <c r="A61">
        <v>160</v>
      </c>
      <c r="B61" t="s">
        <v>25</v>
      </c>
      <c r="C61" t="s">
        <v>24</v>
      </c>
      <c r="D61" t="s">
        <v>12</v>
      </c>
      <c r="E61" t="s">
        <v>29</v>
      </c>
      <c r="F61">
        <v>1</v>
      </c>
      <c r="G61">
        <v>16048</v>
      </c>
      <c r="H61" s="1">
        <v>44986</v>
      </c>
      <c r="I61">
        <v>16048</v>
      </c>
      <c r="J61">
        <v>3209.6</v>
      </c>
    </row>
    <row r="62" spans="1:10" x14ac:dyDescent="0.25">
      <c r="A62">
        <v>161</v>
      </c>
      <c r="B62" t="s">
        <v>14</v>
      </c>
      <c r="C62" t="s">
        <v>27</v>
      </c>
      <c r="D62" t="s">
        <v>16</v>
      </c>
      <c r="E62" t="s">
        <v>31</v>
      </c>
      <c r="F62">
        <v>7</v>
      </c>
      <c r="G62">
        <v>36111</v>
      </c>
      <c r="H62" s="1">
        <v>44987</v>
      </c>
      <c r="I62">
        <v>252777</v>
      </c>
      <c r="J62">
        <v>7222.2</v>
      </c>
    </row>
    <row r="63" spans="1:10" x14ac:dyDescent="0.25">
      <c r="A63">
        <v>162</v>
      </c>
      <c r="B63" t="s">
        <v>30</v>
      </c>
      <c r="C63" t="s">
        <v>11</v>
      </c>
      <c r="D63" t="s">
        <v>12</v>
      </c>
      <c r="E63" t="s">
        <v>33</v>
      </c>
      <c r="F63">
        <v>2</v>
      </c>
      <c r="G63">
        <v>38904</v>
      </c>
      <c r="H63" s="1">
        <v>44988</v>
      </c>
      <c r="I63">
        <v>77808</v>
      </c>
      <c r="J63">
        <v>7780.8</v>
      </c>
    </row>
    <row r="64" spans="1:10" x14ac:dyDescent="0.25">
      <c r="A64">
        <v>163</v>
      </c>
      <c r="B64" t="s">
        <v>32</v>
      </c>
      <c r="C64" t="s">
        <v>15</v>
      </c>
      <c r="D64" t="s">
        <v>16</v>
      </c>
      <c r="E64" t="s">
        <v>33</v>
      </c>
      <c r="F64">
        <v>5</v>
      </c>
      <c r="G64">
        <v>35008</v>
      </c>
      <c r="H64" s="1">
        <v>44989</v>
      </c>
      <c r="I64">
        <v>175040</v>
      </c>
      <c r="J64">
        <v>7001.6</v>
      </c>
    </row>
    <row r="65" spans="1:10" x14ac:dyDescent="0.25">
      <c r="A65">
        <v>164</v>
      </c>
      <c r="B65" t="s">
        <v>25</v>
      </c>
      <c r="C65" t="s">
        <v>11</v>
      </c>
      <c r="D65" t="s">
        <v>22</v>
      </c>
      <c r="E65" t="s">
        <v>17</v>
      </c>
      <c r="F65">
        <v>8</v>
      </c>
      <c r="G65">
        <v>1060</v>
      </c>
      <c r="H65" s="1">
        <v>44990</v>
      </c>
      <c r="I65">
        <v>8480</v>
      </c>
      <c r="J65">
        <v>212</v>
      </c>
    </row>
    <row r="66" spans="1:10" x14ac:dyDescent="0.25">
      <c r="A66">
        <v>165</v>
      </c>
      <c r="B66" t="s">
        <v>32</v>
      </c>
      <c r="C66" t="s">
        <v>15</v>
      </c>
      <c r="D66" t="s">
        <v>12</v>
      </c>
      <c r="E66" t="s">
        <v>13</v>
      </c>
      <c r="F66">
        <v>8</v>
      </c>
      <c r="G66">
        <v>10130</v>
      </c>
      <c r="H66" s="1">
        <v>44991</v>
      </c>
      <c r="I66">
        <v>81040</v>
      </c>
      <c r="J66">
        <v>2026</v>
      </c>
    </row>
    <row r="67" spans="1:10" x14ac:dyDescent="0.25">
      <c r="A67">
        <v>166</v>
      </c>
      <c r="B67" t="s">
        <v>25</v>
      </c>
      <c r="C67" t="s">
        <v>11</v>
      </c>
      <c r="D67" t="s">
        <v>12</v>
      </c>
      <c r="E67" t="s">
        <v>23</v>
      </c>
      <c r="F67">
        <v>3</v>
      </c>
      <c r="G67">
        <v>19023</v>
      </c>
      <c r="H67" s="1">
        <v>44992</v>
      </c>
      <c r="I67">
        <v>57069</v>
      </c>
      <c r="J67">
        <v>3804.6</v>
      </c>
    </row>
    <row r="68" spans="1:10" x14ac:dyDescent="0.25">
      <c r="A68">
        <v>167</v>
      </c>
      <c r="B68" t="s">
        <v>14</v>
      </c>
      <c r="C68" t="s">
        <v>15</v>
      </c>
      <c r="D68" t="s">
        <v>22</v>
      </c>
      <c r="E68" t="s">
        <v>31</v>
      </c>
      <c r="F68">
        <v>7</v>
      </c>
      <c r="G68">
        <v>46080</v>
      </c>
      <c r="H68" s="1">
        <v>44993</v>
      </c>
      <c r="I68">
        <v>322560</v>
      </c>
      <c r="J68">
        <v>9216</v>
      </c>
    </row>
    <row r="69" spans="1:10" x14ac:dyDescent="0.25">
      <c r="A69">
        <v>168</v>
      </c>
      <c r="B69" t="s">
        <v>18</v>
      </c>
      <c r="C69" t="s">
        <v>15</v>
      </c>
      <c r="D69" t="s">
        <v>12</v>
      </c>
      <c r="E69" t="s">
        <v>13</v>
      </c>
      <c r="F69">
        <v>3</v>
      </c>
      <c r="G69">
        <v>14350</v>
      </c>
      <c r="H69" s="1">
        <v>44994</v>
      </c>
      <c r="I69">
        <v>43050</v>
      </c>
      <c r="J69">
        <v>2870</v>
      </c>
    </row>
    <row r="70" spans="1:10" x14ac:dyDescent="0.25">
      <c r="A70">
        <v>169</v>
      </c>
      <c r="B70" t="s">
        <v>10</v>
      </c>
      <c r="C70" t="s">
        <v>24</v>
      </c>
      <c r="D70" t="s">
        <v>12</v>
      </c>
      <c r="E70" t="s">
        <v>31</v>
      </c>
      <c r="F70">
        <v>6</v>
      </c>
      <c r="G70">
        <v>25354</v>
      </c>
      <c r="H70" s="1">
        <v>44995</v>
      </c>
      <c r="I70">
        <v>152124</v>
      </c>
      <c r="J70">
        <v>5070.8</v>
      </c>
    </row>
    <row r="71" spans="1:10" x14ac:dyDescent="0.25">
      <c r="A71">
        <v>170</v>
      </c>
      <c r="B71" t="s">
        <v>35</v>
      </c>
      <c r="C71" t="s">
        <v>15</v>
      </c>
      <c r="D71" t="s">
        <v>16</v>
      </c>
      <c r="E71" t="s">
        <v>17</v>
      </c>
      <c r="F71">
        <v>6</v>
      </c>
      <c r="G71">
        <v>46186</v>
      </c>
      <c r="H71" s="1">
        <v>44996</v>
      </c>
      <c r="I71">
        <v>277116</v>
      </c>
      <c r="J71">
        <v>9237.2000000000007</v>
      </c>
    </row>
    <row r="72" spans="1:10" x14ac:dyDescent="0.25">
      <c r="A72">
        <v>171</v>
      </c>
      <c r="B72" t="s">
        <v>18</v>
      </c>
      <c r="C72" t="s">
        <v>24</v>
      </c>
      <c r="D72" t="s">
        <v>12</v>
      </c>
      <c r="E72" t="s">
        <v>17</v>
      </c>
      <c r="F72">
        <v>3</v>
      </c>
      <c r="G72">
        <v>29145</v>
      </c>
      <c r="H72" s="1">
        <v>44997</v>
      </c>
      <c r="I72">
        <v>87435</v>
      </c>
      <c r="J72">
        <v>5829</v>
      </c>
    </row>
    <row r="73" spans="1:10" x14ac:dyDescent="0.25">
      <c r="A73">
        <v>172</v>
      </c>
      <c r="B73" t="s">
        <v>21</v>
      </c>
      <c r="C73" t="s">
        <v>15</v>
      </c>
      <c r="D73" t="s">
        <v>19</v>
      </c>
      <c r="E73" t="s">
        <v>23</v>
      </c>
      <c r="F73">
        <v>7</v>
      </c>
      <c r="G73">
        <v>35020</v>
      </c>
      <c r="H73" s="1">
        <v>44998</v>
      </c>
      <c r="I73">
        <v>245140</v>
      </c>
      <c r="J73">
        <v>7004</v>
      </c>
    </row>
    <row r="74" spans="1:10" x14ac:dyDescent="0.25">
      <c r="A74">
        <v>173</v>
      </c>
      <c r="B74" t="s">
        <v>32</v>
      </c>
      <c r="C74" t="s">
        <v>27</v>
      </c>
      <c r="D74" t="s">
        <v>22</v>
      </c>
      <c r="E74" t="s">
        <v>33</v>
      </c>
      <c r="F74">
        <v>3</v>
      </c>
      <c r="G74">
        <v>21587</v>
      </c>
      <c r="H74" s="1">
        <v>44999</v>
      </c>
      <c r="I74">
        <v>64761</v>
      </c>
      <c r="J74">
        <v>4317.3999999999996</v>
      </c>
    </row>
    <row r="75" spans="1:10" x14ac:dyDescent="0.25">
      <c r="A75">
        <v>174</v>
      </c>
      <c r="B75" t="s">
        <v>21</v>
      </c>
      <c r="C75" t="s">
        <v>27</v>
      </c>
      <c r="D75" t="s">
        <v>16</v>
      </c>
      <c r="E75" t="s">
        <v>13</v>
      </c>
      <c r="F75">
        <v>8</v>
      </c>
      <c r="G75">
        <v>42131</v>
      </c>
      <c r="H75" s="1">
        <v>45000</v>
      </c>
      <c r="I75">
        <v>337048</v>
      </c>
      <c r="J75">
        <v>8426.2000000000007</v>
      </c>
    </row>
    <row r="76" spans="1:10" x14ac:dyDescent="0.25">
      <c r="A76">
        <v>175</v>
      </c>
      <c r="B76" t="s">
        <v>18</v>
      </c>
      <c r="C76" t="s">
        <v>27</v>
      </c>
      <c r="D76" t="s">
        <v>16</v>
      </c>
      <c r="E76" t="s">
        <v>28</v>
      </c>
      <c r="F76">
        <v>4</v>
      </c>
      <c r="G76">
        <v>10650</v>
      </c>
      <c r="H76" s="1">
        <v>45001</v>
      </c>
      <c r="I76">
        <v>42600</v>
      </c>
      <c r="J76">
        <v>2130</v>
      </c>
    </row>
    <row r="77" spans="1:10" x14ac:dyDescent="0.25">
      <c r="A77">
        <v>176</v>
      </c>
      <c r="B77" t="s">
        <v>25</v>
      </c>
      <c r="C77" t="s">
        <v>15</v>
      </c>
      <c r="D77" t="s">
        <v>19</v>
      </c>
      <c r="E77" t="s">
        <v>33</v>
      </c>
      <c r="F77">
        <v>1</v>
      </c>
      <c r="G77">
        <v>20933</v>
      </c>
      <c r="H77" s="1">
        <v>45002</v>
      </c>
      <c r="I77">
        <v>20933</v>
      </c>
      <c r="J77">
        <v>4186.6000000000004</v>
      </c>
    </row>
    <row r="78" spans="1:10" x14ac:dyDescent="0.25">
      <c r="A78">
        <v>177</v>
      </c>
      <c r="B78" t="s">
        <v>35</v>
      </c>
      <c r="C78" t="s">
        <v>24</v>
      </c>
      <c r="D78" t="s">
        <v>22</v>
      </c>
      <c r="E78" t="s">
        <v>13</v>
      </c>
      <c r="F78">
        <v>4</v>
      </c>
      <c r="G78">
        <v>21581</v>
      </c>
      <c r="H78" s="1">
        <v>45003</v>
      </c>
      <c r="I78">
        <v>86324</v>
      </c>
      <c r="J78">
        <v>4316.2</v>
      </c>
    </row>
    <row r="79" spans="1:10" x14ac:dyDescent="0.25">
      <c r="A79">
        <v>178</v>
      </c>
      <c r="B79" t="s">
        <v>35</v>
      </c>
      <c r="C79" t="s">
        <v>24</v>
      </c>
      <c r="D79" t="s">
        <v>22</v>
      </c>
      <c r="E79" t="s">
        <v>33</v>
      </c>
      <c r="F79">
        <v>7</v>
      </c>
      <c r="G79">
        <v>24393</v>
      </c>
      <c r="H79" s="1">
        <v>45004</v>
      </c>
      <c r="I79">
        <v>170751</v>
      </c>
      <c r="J79">
        <v>4878.6000000000004</v>
      </c>
    </row>
    <row r="80" spans="1:10" x14ac:dyDescent="0.25">
      <c r="A80">
        <v>179</v>
      </c>
      <c r="B80" t="s">
        <v>34</v>
      </c>
      <c r="C80" t="s">
        <v>15</v>
      </c>
      <c r="D80" t="s">
        <v>16</v>
      </c>
      <c r="E80" t="s">
        <v>28</v>
      </c>
      <c r="F80">
        <v>4</v>
      </c>
      <c r="G80">
        <v>24051</v>
      </c>
      <c r="H80" s="1">
        <v>45005</v>
      </c>
      <c r="I80">
        <v>96204</v>
      </c>
      <c r="J80">
        <v>4810.2</v>
      </c>
    </row>
    <row r="81" spans="1:10" x14ac:dyDescent="0.25">
      <c r="A81">
        <v>180</v>
      </c>
      <c r="B81" t="s">
        <v>35</v>
      </c>
      <c r="C81" t="s">
        <v>27</v>
      </c>
      <c r="D81" t="s">
        <v>12</v>
      </c>
      <c r="E81" t="s">
        <v>29</v>
      </c>
      <c r="F81">
        <v>6</v>
      </c>
      <c r="G81">
        <v>27212</v>
      </c>
      <c r="H81" s="1">
        <v>45006</v>
      </c>
      <c r="I81">
        <v>163272</v>
      </c>
      <c r="J81">
        <v>5442.4</v>
      </c>
    </row>
    <row r="82" spans="1:10" x14ac:dyDescent="0.25">
      <c r="A82">
        <v>181</v>
      </c>
      <c r="B82" t="s">
        <v>10</v>
      </c>
      <c r="C82" t="s">
        <v>27</v>
      </c>
      <c r="D82" t="s">
        <v>16</v>
      </c>
      <c r="E82" t="s">
        <v>29</v>
      </c>
      <c r="F82">
        <v>9</v>
      </c>
      <c r="G82">
        <v>5090</v>
      </c>
      <c r="H82" s="1">
        <v>45007</v>
      </c>
      <c r="I82">
        <v>45810</v>
      </c>
      <c r="J82">
        <v>1018</v>
      </c>
    </row>
    <row r="83" spans="1:10" x14ac:dyDescent="0.25">
      <c r="A83">
        <v>182</v>
      </c>
      <c r="B83" t="s">
        <v>35</v>
      </c>
      <c r="C83" t="s">
        <v>24</v>
      </c>
      <c r="D83" t="s">
        <v>22</v>
      </c>
      <c r="E83" t="s">
        <v>23</v>
      </c>
      <c r="F83">
        <v>1</v>
      </c>
      <c r="G83">
        <v>7960</v>
      </c>
      <c r="H83" s="1">
        <v>45008</v>
      </c>
      <c r="I83">
        <v>7960</v>
      </c>
      <c r="J83">
        <v>1592</v>
      </c>
    </row>
    <row r="84" spans="1:10" x14ac:dyDescent="0.25">
      <c r="A84">
        <v>183</v>
      </c>
      <c r="B84" t="s">
        <v>18</v>
      </c>
      <c r="C84" t="s">
        <v>27</v>
      </c>
      <c r="D84" t="s">
        <v>19</v>
      </c>
      <c r="E84" t="s">
        <v>29</v>
      </c>
      <c r="F84">
        <v>5</v>
      </c>
      <c r="G84">
        <v>36772</v>
      </c>
      <c r="H84" s="1">
        <v>45009</v>
      </c>
      <c r="I84">
        <v>183860</v>
      </c>
      <c r="J84">
        <v>7354.4</v>
      </c>
    </row>
    <row r="85" spans="1:10" x14ac:dyDescent="0.25">
      <c r="A85">
        <v>184</v>
      </c>
      <c r="B85" t="s">
        <v>34</v>
      </c>
      <c r="C85" t="s">
        <v>11</v>
      </c>
      <c r="D85" t="s">
        <v>16</v>
      </c>
      <c r="E85" t="s">
        <v>29</v>
      </c>
      <c r="F85">
        <v>7</v>
      </c>
      <c r="G85">
        <v>22520</v>
      </c>
      <c r="H85" s="1">
        <v>45010</v>
      </c>
      <c r="I85">
        <v>157640</v>
      </c>
      <c r="J85">
        <v>4504</v>
      </c>
    </row>
    <row r="86" spans="1:10" x14ac:dyDescent="0.25">
      <c r="A86">
        <v>185</v>
      </c>
      <c r="B86" t="s">
        <v>18</v>
      </c>
      <c r="C86" t="s">
        <v>24</v>
      </c>
      <c r="D86" t="s">
        <v>22</v>
      </c>
      <c r="E86" t="s">
        <v>20</v>
      </c>
      <c r="F86">
        <v>1</v>
      </c>
      <c r="G86">
        <v>37408</v>
      </c>
      <c r="H86" s="1">
        <v>45011</v>
      </c>
      <c r="I86">
        <v>37408</v>
      </c>
      <c r="J86">
        <v>7481.6</v>
      </c>
    </row>
    <row r="87" spans="1:10" x14ac:dyDescent="0.25">
      <c r="A87">
        <v>186</v>
      </c>
      <c r="B87" t="s">
        <v>18</v>
      </c>
      <c r="C87" t="s">
        <v>27</v>
      </c>
      <c r="D87" t="s">
        <v>16</v>
      </c>
      <c r="E87" t="s">
        <v>31</v>
      </c>
      <c r="F87">
        <v>4</v>
      </c>
      <c r="G87">
        <v>29470</v>
      </c>
      <c r="H87" s="1">
        <v>45012</v>
      </c>
      <c r="I87">
        <v>117880</v>
      </c>
      <c r="J87">
        <v>5894</v>
      </c>
    </row>
    <row r="88" spans="1:10" x14ac:dyDescent="0.25">
      <c r="A88">
        <v>187</v>
      </c>
      <c r="B88" t="s">
        <v>26</v>
      </c>
      <c r="C88" t="s">
        <v>24</v>
      </c>
      <c r="D88" t="s">
        <v>12</v>
      </c>
      <c r="E88" t="s">
        <v>20</v>
      </c>
      <c r="F88">
        <v>6</v>
      </c>
      <c r="G88">
        <v>21491</v>
      </c>
      <c r="H88" s="1">
        <v>45013</v>
      </c>
      <c r="I88">
        <v>128946</v>
      </c>
      <c r="J88">
        <v>4298.2</v>
      </c>
    </row>
    <row r="89" spans="1:10" x14ac:dyDescent="0.25">
      <c r="A89">
        <v>188</v>
      </c>
      <c r="B89" t="s">
        <v>34</v>
      </c>
      <c r="C89" t="s">
        <v>11</v>
      </c>
      <c r="D89" t="s">
        <v>16</v>
      </c>
      <c r="E89" t="s">
        <v>20</v>
      </c>
      <c r="F89">
        <v>2</v>
      </c>
      <c r="G89">
        <v>2341</v>
      </c>
      <c r="H89" s="1">
        <v>45014</v>
      </c>
      <c r="I89">
        <v>4682</v>
      </c>
      <c r="J89">
        <v>468.2</v>
      </c>
    </row>
    <row r="90" spans="1:10" x14ac:dyDescent="0.25">
      <c r="A90">
        <v>189</v>
      </c>
      <c r="B90" t="s">
        <v>18</v>
      </c>
      <c r="C90" t="s">
        <v>24</v>
      </c>
      <c r="D90" t="s">
        <v>16</v>
      </c>
      <c r="E90" t="s">
        <v>23</v>
      </c>
      <c r="F90">
        <v>5</v>
      </c>
      <c r="G90">
        <v>45623</v>
      </c>
      <c r="H90" s="1">
        <v>45015</v>
      </c>
      <c r="I90">
        <v>228115</v>
      </c>
      <c r="J90">
        <v>9124.6</v>
      </c>
    </row>
    <row r="91" spans="1:10" x14ac:dyDescent="0.25">
      <c r="A91">
        <v>190</v>
      </c>
      <c r="B91" t="s">
        <v>26</v>
      </c>
      <c r="C91" t="s">
        <v>24</v>
      </c>
      <c r="D91" t="s">
        <v>22</v>
      </c>
      <c r="E91" t="s">
        <v>20</v>
      </c>
      <c r="F91">
        <v>1</v>
      </c>
      <c r="G91">
        <v>25791</v>
      </c>
      <c r="H91" s="1">
        <v>45016</v>
      </c>
      <c r="I91">
        <v>25791</v>
      </c>
      <c r="J91">
        <v>5158.2</v>
      </c>
    </row>
    <row r="92" spans="1:10" x14ac:dyDescent="0.25">
      <c r="A92">
        <v>191</v>
      </c>
      <c r="B92" t="s">
        <v>26</v>
      </c>
      <c r="C92" t="s">
        <v>24</v>
      </c>
      <c r="D92" t="s">
        <v>22</v>
      </c>
      <c r="E92" t="s">
        <v>29</v>
      </c>
      <c r="F92">
        <v>6</v>
      </c>
      <c r="G92">
        <v>1338</v>
      </c>
      <c r="H92" s="1">
        <v>45017</v>
      </c>
      <c r="I92">
        <v>8028</v>
      </c>
      <c r="J92">
        <v>267.60000000000002</v>
      </c>
    </row>
    <row r="93" spans="1:10" x14ac:dyDescent="0.25">
      <c r="A93">
        <v>192</v>
      </c>
      <c r="B93" t="s">
        <v>34</v>
      </c>
      <c r="C93" t="s">
        <v>24</v>
      </c>
      <c r="D93" t="s">
        <v>22</v>
      </c>
      <c r="E93" t="s">
        <v>28</v>
      </c>
      <c r="F93">
        <v>6</v>
      </c>
      <c r="G93">
        <v>6895</v>
      </c>
      <c r="H93" s="1">
        <v>45018</v>
      </c>
      <c r="I93">
        <v>41370</v>
      </c>
      <c r="J93">
        <v>1379</v>
      </c>
    </row>
    <row r="94" spans="1:10" x14ac:dyDescent="0.25">
      <c r="A94">
        <v>193</v>
      </c>
      <c r="B94" t="s">
        <v>21</v>
      </c>
      <c r="C94" t="s">
        <v>11</v>
      </c>
      <c r="D94" t="s">
        <v>16</v>
      </c>
      <c r="E94" t="s">
        <v>23</v>
      </c>
      <c r="F94">
        <v>4</v>
      </c>
      <c r="G94">
        <v>13254</v>
      </c>
      <c r="H94" s="1">
        <v>45019</v>
      </c>
      <c r="I94">
        <v>53016</v>
      </c>
      <c r="J94">
        <v>2650.8</v>
      </c>
    </row>
    <row r="95" spans="1:10" x14ac:dyDescent="0.25">
      <c r="A95">
        <v>194</v>
      </c>
      <c r="B95" t="s">
        <v>25</v>
      </c>
      <c r="C95" t="s">
        <v>15</v>
      </c>
      <c r="D95" t="s">
        <v>12</v>
      </c>
      <c r="E95" t="s">
        <v>23</v>
      </c>
      <c r="F95">
        <v>8</v>
      </c>
      <c r="G95">
        <v>12344</v>
      </c>
      <c r="H95" s="1">
        <v>45020</v>
      </c>
      <c r="I95">
        <v>98752</v>
      </c>
      <c r="J95">
        <v>2468.8000000000002</v>
      </c>
    </row>
    <row r="96" spans="1:10" x14ac:dyDescent="0.25">
      <c r="A96">
        <v>195</v>
      </c>
      <c r="B96" t="s">
        <v>10</v>
      </c>
      <c r="C96" t="s">
        <v>24</v>
      </c>
      <c r="D96" t="s">
        <v>19</v>
      </c>
      <c r="E96" t="s">
        <v>17</v>
      </c>
      <c r="F96">
        <v>4</v>
      </c>
      <c r="G96">
        <v>2750</v>
      </c>
      <c r="H96" s="1">
        <v>45021</v>
      </c>
      <c r="I96">
        <v>11000</v>
      </c>
      <c r="J96">
        <v>550</v>
      </c>
    </row>
    <row r="97" spans="1:10" x14ac:dyDescent="0.25">
      <c r="A97">
        <v>196</v>
      </c>
      <c r="B97" t="s">
        <v>25</v>
      </c>
      <c r="C97" t="s">
        <v>24</v>
      </c>
      <c r="D97" t="s">
        <v>19</v>
      </c>
      <c r="E97" t="s">
        <v>23</v>
      </c>
      <c r="F97">
        <v>8</v>
      </c>
      <c r="G97">
        <v>3421</v>
      </c>
      <c r="H97" s="1">
        <v>45022</v>
      </c>
      <c r="I97">
        <v>27368</v>
      </c>
      <c r="J97">
        <v>684.2</v>
      </c>
    </row>
    <row r="98" spans="1:10" x14ac:dyDescent="0.25">
      <c r="A98">
        <v>197</v>
      </c>
      <c r="B98" t="s">
        <v>35</v>
      </c>
      <c r="C98" t="s">
        <v>27</v>
      </c>
      <c r="D98" t="s">
        <v>22</v>
      </c>
      <c r="E98" t="s">
        <v>17</v>
      </c>
      <c r="F98">
        <v>8</v>
      </c>
      <c r="G98">
        <v>40887</v>
      </c>
      <c r="H98" s="1">
        <v>45023</v>
      </c>
      <c r="I98">
        <v>327096</v>
      </c>
      <c r="J98">
        <v>8177.4</v>
      </c>
    </row>
    <row r="99" spans="1:10" x14ac:dyDescent="0.25">
      <c r="A99">
        <v>198</v>
      </c>
      <c r="B99" t="s">
        <v>10</v>
      </c>
      <c r="C99" t="s">
        <v>24</v>
      </c>
      <c r="D99" t="s">
        <v>22</v>
      </c>
      <c r="E99" t="s">
        <v>23</v>
      </c>
      <c r="F99">
        <v>5</v>
      </c>
      <c r="G99">
        <v>6319</v>
      </c>
      <c r="H99" s="1">
        <v>45024</v>
      </c>
      <c r="I99">
        <v>31595</v>
      </c>
      <c r="J99">
        <v>1263.8</v>
      </c>
    </row>
    <row r="100" spans="1:10" x14ac:dyDescent="0.25">
      <c r="A100">
        <v>199</v>
      </c>
      <c r="B100" t="s">
        <v>35</v>
      </c>
      <c r="C100" t="s">
        <v>27</v>
      </c>
      <c r="D100" t="s">
        <v>16</v>
      </c>
      <c r="E100" t="s">
        <v>31</v>
      </c>
      <c r="F100">
        <v>4</v>
      </c>
      <c r="G100">
        <v>16896</v>
      </c>
      <c r="H100" s="1">
        <v>45025</v>
      </c>
      <c r="I100">
        <v>67584</v>
      </c>
      <c r="J100">
        <v>3379.2</v>
      </c>
    </row>
    <row r="101" spans="1:10" x14ac:dyDescent="0.25">
      <c r="A101">
        <v>200</v>
      </c>
      <c r="B101" t="s">
        <v>18</v>
      </c>
      <c r="C101" t="s">
        <v>15</v>
      </c>
      <c r="D101" t="s">
        <v>19</v>
      </c>
      <c r="E101" t="s">
        <v>29</v>
      </c>
      <c r="F101">
        <v>2</v>
      </c>
      <c r="G101">
        <v>12918</v>
      </c>
      <c r="H101" s="1">
        <v>45026</v>
      </c>
      <c r="I101">
        <v>25836</v>
      </c>
      <c r="J101">
        <v>2583.6</v>
      </c>
    </row>
    <row r="102" spans="1:10" x14ac:dyDescent="0.25">
      <c r="A102">
        <v>201</v>
      </c>
      <c r="B102" t="s">
        <v>32</v>
      </c>
      <c r="C102" t="s">
        <v>11</v>
      </c>
      <c r="D102" t="s">
        <v>22</v>
      </c>
      <c r="E102" t="s">
        <v>23</v>
      </c>
      <c r="F102">
        <v>3</v>
      </c>
      <c r="G102">
        <v>26064</v>
      </c>
      <c r="H102" s="1">
        <v>45027</v>
      </c>
      <c r="I102">
        <v>78192</v>
      </c>
      <c r="J102">
        <v>5212.8</v>
      </c>
    </row>
    <row r="103" spans="1:10" x14ac:dyDescent="0.25">
      <c r="A103">
        <v>202</v>
      </c>
      <c r="B103" t="s">
        <v>34</v>
      </c>
      <c r="C103" t="s">
        <v>11</v>
      </c>
      <c r="D103" t="s">
        <v>12</v>
      </c>
      <c r="E103" t="s">
        <v>29</v>
      </c>
      <c r="F103">
        <v>3</v>
      </c>
      <c r="G103">
        <v>47617</v>
      </c>
      <c r="H103" s="1">
        <v>45028</v>
      </c>
      <c r="I103">
        <v>142851</v>
      </c>
      <c r="J103">
        <v>9523.4</v>
      </c>
    </row>
    <row r="104" spans="1:10" x14ac:dyDescent="0.25">
      <c r="A104">
        <v>203</v>
      </c>
      <c r="B104" t="s">
        <v>10</v>
      </c>
      <c r="C104" t="s">
        <v>15</v>
      </c>
      <c r="D104" t="s">
        <v>12</v>
      </c>
      <c r="E104" t="s">
        <v>29</v>
      </c>
      <c r="F104">
        <v>4</v>
      </c>
      <c r="G104">
        <v>28935</v>
      </c>
      <c r="H104" s="1">
        <v>45029</v>
      </c>
      <c r="I104">
        <v>115740</v>
      </c>
      <c r="J104">
        <v>5787</v>
      </c>
    </row>
    <row r="105" spans="1:10" x14ac:dyDescent="0.25">
      <c r="A105">
        <v>204</v>
      </c>
      <c r="B105" t="s">
        <v>10</v>
      </c>
      <c r="C105" t="s">
        <v>11</v>
      </c>
      <c r="D105" t="s">
        <v>22</v>
      </c>
      <c r="E105" t="s">
        <v>33</v>
      </c>
      <c r="F105">
        <v>4</v>
      </c>
      <c r="G105">
        <v>38641</v>
      </c>
      <c r="H105" s="1">
        <v>45030</v>
      </c>
      <c r="I105">
        <v>154564</v>
      </c>
      <c r="J105">
        <v>7728.2</v>
      </c>
    </row>
    <row r="106" spans="1:10" x14ac:dyDescent="0.25">
      <c r="A106">
        <v>205</v>
      </c>
      <c r="B106" t="s">
        <v>18</v>
      </c>
      <c r="C106" t="s">
        <v>15</v>
      </c>
      <c r="D106" t="s">
        <v>22</v>
      </c>
      <c r="E106" t="s">
        <v>23</v>
      </c>
      <c r="F106">
        <v>5</v>
      </c>
      <c r="G106">
        <v>30711</v>
      </c>
      <c r="H106" s="1">
        <v>45031</v>
      </c>
      <c r="I106">
        <v>153555</v>
      </c>
      <c r="J106">
        <v>6142.2</v>
      </c>
    </row>
    <row r="107" spans="1:10" x14ac:dyDescent="0.25">
      <c r="A107">
        <v>206</v>
      </c>
      <c r="B107" t="s">
        <v>21</v>
      </c>
      <c r="C107" t="s">
        <v>15</v>
      </c>
      <c r="D107" t="s">
        <v>19</v>
      </c>
      <c r="E107" t="s">
        <v>13</v>
      </c>
      <c r="F107">
        <v>4</v>
      </c>
      <c r="G107">
        <v>5806</v>
      </c>
      <c r="H107" s="1">
        <v>45032</v>
      </c>
      <c r="I107">
        <v>23224</v>
      </c>
      <c r="J107">
        <v>1161.2</v>
      </c>
    </row>
    <row r="108" spans="1:10" x14ac:dyDescent="0.25">
      <c r="A108">
        <v>207</v>
      </c>
      <c r="B108" t="s">
        <v>26</v>
      </c>
      <c r="C108" t="s">
        <v>15</v>
      </c>
      <c r="D108" t="s">
        <v>19</v>
      </c>
      <c r="E108" t="s">
        <v>33</v>
      </c>
      <c r="F108">
        <v>8</v>
      </c>
      <c r="G108">
        <v>42360</v>
      </c>
      <c r="H108" s="1">
        <v>45033</v>
      </c>
      <c r="I108">
        <v>338880</v>
      </c>
      <c r="J108">
        <v>8472</v>
      </c>
    </row>
    <row r="109" spans="1:10" x14ac:dyDescent="0.25">
      <c r="A109">
        <v>208</v>
      </c>
      <c r="B109" t="s">
        <v>18</v>
      </c>
      <c r="C109" t="s">
        <v>11</v>
      </c>
      <c r="D109" t="s">
        <v>16</v>
      </c>
      <c r="E109" t="s">
        <v>13</v>
      </c>
      <c r="F109">
        <v>6</v>
      </c>
      <c r="G109">
        <v>13182</v>
      </c>
      <c r="H109" s="1">
        <v>45034</v>
      </c>
      <c r="I109">
        <v>79092</v>
      </c>
      <c r="J109">
        <v>2636.4</v>
      </c>
    </row>
    <row r="110" spans="1:10" x14ac:dyDescent="0.25">
      <c r="A110">
        <v>209</v>
      </c>
      <c r="B110" t="s">
        <v>30</v>
      </c>
      <c r="C110" t="s">
        <v>27</v>
      </c>
      <c r="D110" t="s">
        <v>19</v>
      </c>
      <c r="E110" t="s">
        <v>29</v>
      </c>
      <c r="F110">
        <v>6</v>
      </c>
      <c r="G110">
        <v>23297</v>
      </c>
      <c r="H110" s="1">
        <v>45035</v>
      </c>
      <c r="I110">
        <v>139782</v>
      </c>
      <c r="J110">
        <v>4659.3999999999996</v>
      </c>
    </row>
    <row r="111" spans="1:10" x14ac:dyDescent="0.25">
      <c r="A111">
        <v>210</v>
      </c>
      <c r="B111" t="s">
        <v>26</v>
      </c>
      <c r="C111" t="s">
        <v>15</v>
      </c>
      <c r="D111" t="s">
        <v>12</v>
      </c>
      <c r="E111" t="s">
        <v>29</v>
      </c>
      <c r="F111">
        <v>8</v>
      </c>
      <c r="G111">
        <v>20541</v>
      </c>
      <c r="H111" s="1">
        <v>45036</v>
      </c>
      <c r="I111">
        <v>164328</v>
      </c>
      <c r="J111">
        <v>4108.2</v>
      </c>
    </row>
    <row r="112" spans="1:10" x14ac:dyDescent="0.25">
      <c r="A112">
        <v>211</v>
      </c>
      <c r="B112" t="s">
        <v>34</v>
      </c>
      <c r="C112" t="s">
        <v>24</v>
      </c>
      <c r="D112" t="s">
        <v>12</v>
      </c>
      <c r="E112" t="s">
        <v>33</v>
      </c>
      <c r="F112">
        <v>7</v>
      </c>
      <c r="G112">
        <v>29921</v>
      </c>
      <c r="H112" s="1">
        <v>45037</v>
      </c>
      <c r="I112">
        <v>209447</v>
      </c>
      <c r="J112">
        <v>5984.2</v>
      </c>
    </row>
    <row r="113" spans="1:10" x14ac:dyDescent="0.25">
      <c r="A113">
        <v>212</v>
      </c>
      <c r="B113" t="s">
        <v>26</v>
      </c>
      <c r="C113" t="s">
        <v>11</v>
      </c>
      <c r="D113" t="s">
        <v>22</v>
      </c>
      <c r="E113" t="s">
        <v>33</v>
      </c>
      <c r="F113">
        <v>8</v>
      </c>
      <c r="G113">
        <v>17774</v>
      </c>
      <c r="H113" s="1">
        <v>45038</v>
      </c>
      <c r="I113">
        <v>142192</v>
      </c>
      <c r="J113">
        <v>3554.8</v>
      </c>
    </row>
    <row r="114" spans="1:10" x14ac:dyDescent="0.25">
      <c r="A114">
        <v>213</v>
      </c>
      <c r="B114" t="s">
        <v>21</v>
      </c>
      <c r="C114" t="s">
        <v>15</v>
      </c>
      <c r="D114" t="s">
        <v>19</v>
      </c>
      <c r="E114" t="s">
        <v>13</v>
      </c>
      <c r="F114">
        <v>2</v>
      </c>
      <c r="G114">
        <v>45813</v>
      </c>
      <c r="H114" s="1">
        <v>45039</v>
      </c>
      <c r="I114">
        <v>91626</v>
      </c>
      <c r="J114">
        <v>9162.6</v>
      </c>
    </row>
    <row r="115" spans="1:10" x14ac:dyDescent="0.25">
      <c r="A115">
        <v>214</v>
      </c>
      <c r="B115" t="s">
        <v>26</v>
      </c>
      <c r="C115" t="s">
        <v>15</v>
      </c>
      <c r="D115" t="s">
        <v>16</v>
      </c>
      <c r="E115" t="s">
        <v>17</v>
      </c>
      <c r="F115">
        <v>9</v>
      </c>
      <c r="G115">
        <v>38198</v>
      </c>
      <c r="H115" s="1">
        <v>45040</v>
      </c>
      <c r="I115">
        <v>343782</v>
      </c>
      <c r="J115">
        <v>7639.6</v>
      </c>
    </row>
    <row r="116" spans="1:10" x14ac:dyDescent="0.25">
      <c r="A116">
        <v>215</v>
      </c>
      <c r="B116" t="s">
        <v>34</v>
      </c>
      <c r="C116" t="s">
        <v>24</v>
      </c>
      <c r="D116" t="s">
        <v>12</v>
      </c>
      <c r="E116" t="s">
        <v>13</v>
      </c>
      <c r="F116">
        <v>1</v>
      </c>
      <c r="G116">
        <v>9820</v>
      </c>
      <c r="H116" s="1">
        <v>45041</v>
      </c>
      <c r="I116">
        <v>9820</v>
      </c>
      <c r="J116">
        <v>1964</v>
      </c>
    </row>
    <row r="117" spans="1:10" x14ac:dyDescent="0.25">
      <c r="A117">
        <v>216</v>
      </c>
      <c r="B117" t="s">
        <v>21</v>
      </c>
      <c r="C117" t="s">
        <v>27</v>
      </c>
      <c r="D117" t="s">
        <v>12</v>
      </c>
      <c r="E117" t="s">
        <v>33</v>
      </c>
      <c r="F117">
        <v>8</v>
      </c>
      <c r="G117">
        <v>25070</v>
      </c>
      <c r="H117" s="1">
        <v>45042</v>
      </c>
      <c r="I117">
        <v>200560</v>
      </c>
      <c r="J117">
        <v>5014</v>
      </c>
    </row>
    <row r="118" spans="1:10" x14ac:dyDescent="0.25">
      <c r="A118">
        <v>217</v>
      </c>
      <c r="B118" t="s">
        <v>25</v>
      </c>
      <c r="C118" t="s">
        <v>27</v>
      </c>
      <c r="D118" t="s">
        <v>16</v>
      </c>
      <c r="E118" t="s">
        <v>28</v>
      </c>
      <c r="F118">
        <v>4</v>
      </c>
      <c r="G118">
        <v>5232</v>
      </c>
      <c r="H118" s="1">
        <v>45043</v>
      </c>
      <c r="I118">
        <v>20928</v>
      </c>
      <c r="J118">
        <v>1046.4000000000001</v>
      </c>
    </row>
    <row r="119" spans="1:10" x14ac:dyDescent="0.25">
      <c r="A119">
        <v>218</v>
      </c>
      <c r="B119" t="s">
        <v>10</v>
      </c>
      <c r="C119" t="s">
        <v>27</v>
      </c>
      <c r="D119" t="s">
        <v>16</v>
      </c>
      <c r="E119" t="s">
        <v>33</v>
      </c>
      <c r="F119">
        <v>4</v>
      </c>
      <c r="G119">
        <v>12122</v>
      </c>
      <c r="H119" s="1">
        <v>45044</v>
      </c>
      <c r="I119">
        <v>48488</v>
      </c>
      <c r="J119">
        <v>2424.4</v>
      </c>
    </row>
    <row r="120" spans="1:10" x14ac:dyDescent="0.25">
      <c r="A120">
        <v>219</v>
      </c>
      <c r="B120" t="s">
        <v>10</v>
      </c>
      <c r="C120" t="s">
        <v>15</v>
      </c>
      <c r="D120" t="s">
        <v>12</v>
      </c>
      <c r="E120" t="s">
        <v>28</v>
      </c>
      <c r="F120">
        <v>5</v>
      </c>
      <c r="G120">
        <v>16023</v>
      </c>
      <c r="H120" s="1">
        <v>45045</v>
      </c>
      <c r="I120">
        <v>80115</v>
      </c>
      <c r="J120">
        <v>3204.6</v>
      </c>
    </row>
    <row r="121" spans="1:10" x14ac:dyDescent="0.25">
      <c r="A121">
        <v>220</v>
      </c>
      <c r="B121" t="s">
        <v>35</v>
      </c>
      <c r="C121" t="s">
        <v>15</v>
      </c>
      <c r="D121" t="s">
        <v>12</v>
      </c>
      <c r="E121" t="s">
        <v>31</v>
      </c>
      <c r="F121">
        <v>8</v>
      </c>
      <c r="G121">
        <v>9007</v>
      </c>
      <c r="H121" s="1">
        <v>45046</v>
      </c>
      <c r="I121">
        <v>72056</v>
      </c>
      <c r="J121">
        <v>1801.4</v>
      </c>
    </row>
    <row r="122" spans="1:10" x14ac:dyDescent="0.25">
      <c r="A122">
        <v>221</v>
      </c>
      <c r="B122" t="s">
        <v>25</v>
      </c>
      <c r="C122" t="s">
        <v>15</v>
      </c>
      <c r="D122" t="s">
        <v>16</v>
      </c>
      <c r="E122" t="s">
        <v>33</v>
      </c>
      <c r="F122">
        <v>5</v>
      </c>
      <c r="G122">
        <v>18905</v>
      </c>
      <c r="H122" s="1">
        <v>45047</v>
      </c>
      <c r="I122">
        <v>94525</v>
      </c>
      <c r="J122">
        <v>3781</v>
      </c>
    </row>
    <row r="123" spans="1:10" x14ac:dyDescent="0.25">
      <c r="A123">
        <v>222</v>
      </c>
      <c r="B123" t="s">
        <v>25</v>
      </c>
      <c r="C123" t="s">
        <v>11</v>
      </c>
      <c r="D123" t="s">
        <v>12</v>
      </c>
      <c r="E123" t="s">
        <v>31</v>
      </c>
      <c r="F123">
        <v>8</v>
      </c>
      <c r="G123">
        <v>42786</v>
      </c>
      <c r="H123" s="1">
        <v>45048</v>
      </c>
      <c r="I123">
        <v>342288</v>
      </c>
      <c r="J123">
        <v>8557.2000000000007</v>
      </c>
    </row>
    <row r="124" spans="1:10" x14ac:dyDescent="0.25">
      <c r="A124">
        <v>223</v>
      </c>
      <c r="B124" t="s">
        <v>26</v>
      </c>
      <c r="C124" t="s">
        <v>24</v>
      </c>
      <c r="D124" t="s">
        <v>22</v>
      </c>
      <c r="E124" t="s">
        <v>17</v>
      </c>
      <c r="F124">
        <v>1</v>
      </c>
      <c r="G124">
        <v>30398</v>
      </c>
      <c r="H124" s="1">
        <v>45049</v>
      </c>
      <c r="I124">
        <v>30398</v>
      </c>
      <c r="J124">
        <v>6079.6</v>
      </c>
    </row>
    <row r="125" spans="1:10" x14ac:dyDescent="0.25">
      <c r="A125">
        <v>224</v>
      </c>
      <c r="B125" t="s">
        <v>10</v>
      </c>
      <c r="C125" t="s">
        <v>15</v>
      </c>
      <c r="D125" t="s">
        <v>22</v>
      </c>
      <c r="E125" t="s">
        <v>13</v>
      </c>
      <c r="F125">
        <v>9</v>
      </c>
      <c r="G125">
        <v>35268</v>
      </c>
      <c r="H125" s="1">
        <v>45050</v>
      </c>
      <c r="I125">
        <v>317412</v>
      </c>
      <c r="J125">
        <v>7053.6</v>
      </c>
    </row>
    <row r="126" spans="1:10" x14ac:dyDescent="0.25">
      <c r="A126">
        <v>225</v>
      </c>
      <c r="B126" t="s">
        <v>34</v>
      </c>
      <c r="C126" t="s">
        <v>24</v>
      </c>
      <c r="D126" t="s">
        <v>16</v>
      </c>
      <c r="E126" t="s">
        <v>28</v>
      </c>
      <c r="F126">
        <v>6</v>
      </c>
      <c r="G126">
        <v>7737</v>
      </c>
      <c r="H126" s="1">
        <v>45051</v>
      </c>
      <c r="I126">
        <v>46422</v>
      </c>
      <c r="J126">
        <v>1547.4</v>
      </c>
    </row>
    <row r="127" spans="1:10" x14ac:dyDescent="0.25">
      <c r="A127">
        <v>226</v>
      </c>
      <c r="B127" t="s">
        <v>14</v>
      </c>
      <c r="C127" t="s">
        <v>24</v>
      </c>
      <c r="D127" t="s">
        <v>19</v>
      </c>
      <c r="E127" t="s">
        <v>13</v>
      </c>
      <c r="F127">
        <v>3</v>
      </c>
      <c r="G127">
        <v>37062</v>
      </c>
      <c r="H127" s="1">
        <v>45052</v>
      </c>
      <c r="I127">
        <v>111186</v>
      </c>
      <c r="J127">
        <v>7412.4</v>
      </c>
    </row>
    <row r="128" spans="1:10" x14ac:dyDescent="0.25">
      <c r="A128">
        <v>227</v>
      </c>
      <c r="B128" t="s">
        <v>14</v>
      </c>
      <c r="C128" t="s">
        <v>27</v>
      </c>
      <c r="D128" t="s">
        <v>16</v>
      </c>
      <c r="E128" t="s">
        <v>31</v>
      </c>
      <c r="F128">
        <v>8</v>
      </c>
      <c r="G128">
        <v>26510</v>
      </c>
      <c r="H128" s="1">
        <v>45053</v>
      </c>
      <c r="I128">
        <v>212080</v>
      </c>
      <c r="J128">
        <v>5302</v>
      </c>
    </row>
    <row r="129" spans="1:10" x14ac:dyDescent="0.25">
      <c r="A129">
        <v>228</v>
      </c>
      <c r="B129" t="s">
        <v>21</v>
      </c>
      <c r="C129" t="s">
        <v>11</v>
      </c>
      <c r="D129" t="s">
        <v>16</v>
      </c>
      <c r="E129" t="s">
        <v>28</v>
      </c>
      <c r="F129">
        <v>9</v>
      </c>
      <c r="G129">
        <v>20426</v>
      </c>
      <c r="H129" s="1">
        <v>45054</v>
      </c>
      <c r="I129">
        <v>183834</v>
      </c>
      <c r="J129">
        <v>4085.2</v>
      </c>
    </row>
    <row r="130" spans="1:10" x14ac:dyDescent="0.25">
      <c r="A130">
        <v>229</v>
      </c>
      <c r="B130" t="s">
        <v>10</v>
      </c>
      <c r="C130" t="s">
        <v>15</v>
      </c>
      <c r="D130" t="s">
        <v>19</v>
      </c>
      <c r="E130" t="s">
        <v>13</v>
      </c>
      <c r="F130">
        <v>6</v>
      </c>
      <c r="G130">
        <v>38265</v>
      </c>
      <c r="H130" s="1">
        <v>45055</v>
      </c>
      <c r="I130">
        <v>229590</v>
      </c>
      <c r="J130">
        <v>7653</v>
      </c>
    </row>
    <row r="131" spans="1:10" x14ac:dyDescent="0.25">
      <c r="A131">
        <v>230</v>
      </c>
      <c r="B131" t="s">
        <v>10</v>
      </c>
      <c r="C131" t="s">
        <v>27</v>
      </c>
      <c r="D131" t="s">
        <v>19</v>
      </c>
      <c r="E131" t="s">
        <v>33</v>
      </c>
      <c r="F131">
        <v>7</v>
      </c>
      <c r="G131">
        <v>18850</v>
      </c>
      <c r="H131" s="1">
        <v>45056</v>
      </c>
      <c r="I131">
        <v>131950</v>
      </c>
      <c r="J131">
        <v>3770</v>
      </c>
    </row>
    <row r="132" spans="1:10" x14ac:dyDescent="0.25">
      <c r="A132">
        <v>231</v>
      </c>
      <c r="B132" t="s">
        <v>14</v>
      </c>
      <c r="C132" t="s">
        <v>27</v>
      </c>
      <c r="D132" t="s">
        <v>19</v>
      </c>
      <c r="E132" t="s">
        <v>29</v>
      </c>
      <c r="F132">
        <v>1</v>
      </c>
      <c r="G132">
        <v>1614</v>
      </c>
      <c r="H132" s="1">
        <v>45057</v>
      </c>
      <c r="I132">
        <v>1614</v>
      </c>
      <c r="J132">
        <v>322.8</v>
      </c>
    </row>
    <row r="133" spans="1:10" x14ac:dyDescent="0.25">
      <c r="A133">
        <v>232</v>
      </c>
      <c r="B133" t="s">
        <v>10</v>
      </c>
      <c r="C133" t="s">
        <v>15</v>
      </c>
      <c r="D133" t="s">
        <v>22</v>
      </c>
      <c r="E133" t="s">
        <v>31</v>
      </c>
      <c r="F133">
        <v>5</v>
      </c>
      <c r="G133">
        <v>22776</v>
      </c>
      <c r="H133" s="1">
        <v>45058</v>
      </c>
      <c r="I133">
        <v>113880</v>
      </c>
      <c r="J133">
        <v>4555.2</v>
      </c>
    </row>
    <row r="134" spans="1:10" x14ac:dyDescent="0.25">
      <c r="A134">
        <v>233</v>
      </c>
      <c r="B134" t="s">
        <v>26</v>
      </c>
      <c r="C134" t="s">
        <v>24</v>
      </c>
      <c r="D134" t="s">
        <v>12</v>
      </c>
      <c r="E134" t="s">
        <v>13</v>
      </c>
      <c r="F134">
        <v>5</v>
      </c>
      <c r="G134">
        <v>25077</v>
      </c>
      <c r="H134" s="1">
        <v>45059</v>
      </c>
      <c r="I134">
        <v>125385</v>
      </c>
      <c r="J134">
        <v>5015.3999999999996</v>
      </c>
    </row>
    <row r="135" spans="1:10" x14ac:dyDescent="0.25">
      <c r="A135">
        <v>234</v>
      </c>
      <c r="B135" t="s">
        <v>30</v>
      </c>
      <c r="C135" t="s">
        <v>27</v>
      </c>
      <c r="D135" t="s">
        <v>22</v>
      </c>
      <c r="E135" t="s">
        <v>31</v>
      </c>
      <c r="F135">
        <v>4</v>
      </c>
      <c r="G135">
        <v>10374</v>
      </c>
      <c r="H135" s="1">
        <v>45060</v>
      </c>
      <c r="I135">
        <v>41496</v>
      </c>
      <c r="J135">
        <v>2074.8000000000002</v>
      </c>
    </row>
    <row r="136" spans="1:10" x14ac:dyDescent="0.25">
      <c r="A136">
        <v>235</v>
      </c>
      <c r="B136" t="s">
        <v>32</v>
      </c>
      <c r="C136" t="s">
        <v>24</v>
      </c>
      <c r="D136" t="s">
        <v>12</v>
      </c>
      <c r="E136" t="s">
        <v>20</v>
      </c>
      <c r="F136">
        <v>6</v>
      </c>
      <c r="G136">
        <v>36435</v>
      </c>
      <c r="H136" s="1">
        <v>45061</v>
      </c>
      <c r="I136">
        <v>218610</v>
      </c>
      <c r="J136">
        <v>7287</v>
      </c>
    </row>
    <row r="137" spans="1:10" x14ac:dyDescent="0.25">
      <c r="A137">
        <v>236</v>
      </c>
      <c r="B137" t="s">
        <v>25</v>
      </c>
      <c r="C137" t="s">
        <v>11</v>
      </c>
      <c r="D137" t="s">
        <v>22</v>
      </c>
      <c r="E137" t="s">
        <v>31</v>
      </c>
      <c r="F137">
        <v>7</v>
      </c>
      <c r="G137">
        <v>31907</v>
      </c>
      <c r="H137" s="1">
        <v>45062</v>
      </c>
      <c r="I137">
        <v>223349</v>
      </c>
      <c r="J137">
        <v>6381.4</v>
      </c>
    </row>
    <row r="138" spans="1:10" x14ac:dyDescent="0.25">
      <c r="A138">
        <v>237</v>
      </c>
      <c r="B138" t="s">
        <v>35</v>
      </c>
      <c r="C138" t="s">
        <v>24</v>
      </c>
      <c r="D138" t="s">
        <v>12</v>
      </c>
      <c r="E138" t="s">
        <v>28</v>
      </c>
      <c r="F138">
        <v>9</v>
      </c>
      <c r="G138">
        <v>14409</v>
      </c>
      <c r="H138" s="1">
        <v>45063</v>
      </c>
      <c r="I138">
        <v>129681</v>
      </c>
      <c r="J138">
        <v>2881.8</v>
      </c>
    </row>
    <row r="139" spans="1:10" x14ac:dyDescent="0.25">
      <c r="A139">
        <v>238</v>
      </c>
      <c r="B139" t="s">
        <v>21</v>
      </c>
      <c r="C139" t="s">
        <v>11</v>
      </c>
      <c r="D139" t="s">
        <v>22</v>
      </c>
      <c r="E139" t="s">
        <v>20</v>
      </c>
      <c r="F139">
        <v>1</v>
      </c>
      <c r="G139">
        <v>17514</v>
      </c>
      <c r="H139" s="1">
        <v>45064</v>
      </c>
      <c r="I139">
        <v>17514</v>
      </c>
      <c r="J139">
        <v>3502.8</v>
      </c>
    </row>
    <row r="140" spans="1:10" x14ac:dyDescent="0.25">
      <c r="A140">
        <v>239</v>
      </c>
      <c r="B140" t="s">
        <v>30</v>
      </c>
      <c r="C140" t="s">
        <v>24</v>
      </c>
      <c r="D140" t="s">
        <v>19</v>
      </c>
      <c r="E140" t="s">
        <v>23</v>
      </c>
      <c r="F140">
        <v>6</v>
      </c>
      <c r="G140">
        <v>30866</v>
      </c>
      <c r="H140" s="1">
        <v>45065</v>
      </c>
      <c r="I140">
        <v>185196</v>
      </c>
      <c r="J140">
        <v>6173.2</v>
      </c>
    </row>
    <row r="141" spans="1:10" x14ac:dyDescent="0.25">
      <c r="A141">
        <v>240</v>
      </c>
      <c r="B141" t="s">
        <v>14</v>
      </c>
      <c r="C141" t="s">
        <v>27</v>
      </c>
      <c r="D141" t="s">
        <v>16</v>
      </c>
      <c r="E141" t="s">
        <v>28</v>
      </c>
      <c r="F141">
        <v>7</v>
      </c>
      <c r="G141">
        <v>3983</v>
      </c>
      <c r="H141" s="1">
        <v>45066</v>
      </c>
      <c r="I141">
        <v>27881</v>
      </c>
      <c r="J141">
        <v>796.6</v>
      </c>
    </row>
    <row r="142" spans="1:10" x14ac:dyDescent="0.25">
      <c r="A142">
        <v>241</v>
      </c>
      <c r="B142" t="s">
        <v>25</v>
      </c>
      <c r="C142" t="s">
        <v>27</v>
      </c>
      <c r="D142" t="s">
        <v>22</v>
      </c>
      <c r="E142" t="s">
        <v>29</v>
      </c>
      <c r="F142">
        <v>3</v>
      </c>
      <c r="G142">
        <v>32705</v>
      </c>
      <c r="H142" s="1">
        <v>45067</v>
      </c>
      <c r="I142">
        <v>98115</v>
      </c>
      <c r="J142">
        <v>6541</v>
      </c>
    </row>
    <row r="143" spans="1:10" x14ac:dyDescent="0.25">
      <c r="A143">
        <v>242</v>
      </c>
      <c r="B143" t="s">
        <v>10</v>
      </c>
      <c r="C143" t="s">
        <v>11</v>
      </c>
      <c r="D143" t="s">
        <v>12</v>
      </c>
      <c r="E143" t="s">
        <v>20</v>
      </c>
      <c r="F143">
        <v>8</v>
      </c>
      <c r="G143">
        <v>21662</v>
      </c>
      <c r="H143" s="1">
        <v>45068</v>
      </c>
      <c r="I143">
        <v>173296</v>
      </c>
      <c r="J143">
        <v>4332.3999999999996</v>
      </c>
    </row>
    <row r="144" spans="1:10" x14ac:dyDescent="0.25">
      <c r="A144">
        <v>243</v>
      </c>
      <c r="B144" t="s">
        <v>35</v>
      </c>
      <c r="C144" t="s">
        <v>15</v>
      </c>
      <c r="D144" t="s">
        <v>19</v>
      </c>
      <c r="E144" t="s">
        <v>23</v>
      </c>
      <c r="F144">
        <v>5</v>
      </c>
      <c r="G144">
        <v>24510</v>
      </c>
      <c r="H144" s="1">
        <v>45069</v>
      </c>
      <c r="I144">
        <v>122550</v>
      </c>
      <c r="J144">
        <v>4902</v>
      </c>
    </row>
    <row r="145" spans="1:10" x14ac:dyDescent="0.25">
      <c r="A145">
        <v>244</v>
      </c>
      <c r="B145" t="s">
        <v>10</v>
      </c>
      <c r="C145" t="s">
        <v>11</v>
      </c>
      <c r="D145" t="s">
        <v>22</v>
      </c>
      <c r="E145" t="s">
        <v>33</v>
      </c>
      <c r="F145">
        <v>9</v>
      </c>
      <c r="G145">
        <v>13651</v>
      </c>
      <c r="H145" s="1">
        <v>45070</v>
      </c>
      <c r="I145">
        <v>122859</v>
      </c>
      <c r="J145">
        <v>2730.2</v>
      </c>
    </row>
    <row r="146" spans="1:10" x14ac:dyDescent="0.25">
      <c r="A146">
        <v>245</v>
      </c>
      <c r="B146" t="s">
        <v>34</v>
      </c>
      <c r="C146" t="s">
        <v>11</v>
      </c>
      <c r="D146" t="s">
        <v>22</v>
      </c>
      <c r="E146" t="s">
        <v>31</v>
      </c>
      <c r="F146">
        <v>5</v>
      </c>
      <c r="G146">
        <v>41998</v>
      </c>
      <c r="H146" s="1">
        <v>45071</v>
      </c>
      <c r="I146">
        <v>209990</v>
      </c>
      <c r="J146">
        <v>8399.6</v>
      </c>
    </row>
    <row r="147" spans="1:10" x14ac:dyDescent="0.25">
      <c r="A147">
        <v>246</v>
      </c>
      <c r="B147" t="s">
        <v>34</v>
      </c>
      <c r="C147" t="s">
        <v>24</v>
      </c>
      <c r="D147" t="s">
        <v>19</v>
      </c>
      <c r="E147" t="s">
        <v>13</v>
      </c>
      <c r="F147">
        <v>9</v>
      </c>
      <c r="G147">
        <v>29535</v>
      </c>
      <c r="H147" s="1">
        <v>45072</v>
      </c>
      <c r="I147">
        <v>265815</v>
      </c>
      <c r="J147">
        <v>5907</v>
      </c>
    </row>
    <row r="148" spans="1:10" x14ac:dyDescent="0.25">
      <c r="A148">
        <v>247</v>
      </c>
      <c r="B148" t="s">
        <v>35</v>
      </c>
      <c r="C148" t="s">
        <v>24</v>
      </c>
      <c r="D148" t="s">
        <v>22</v>
      </c>
      <c r="E148" t="s">
        <v>17</v>
      </c>
      <c r="F148">
        <v>4</v>
      </c>
      <c r="G148">
        <v>7640</v>
      </c>
      <c r="H148" s="1">
        <v>45073</v>
      </c>
      <c r="I148">
        <v>30560</v>
      </c>
      <c r="J148">
        <v>1528</v>
      </c>
    </row>
    <row r="149" spans="1:10" x14ac:dyDescent="0.25">
      <c r="A149">
        <v>248</v>
      </c>
      <c r="B149" t="s">
        <v>35</v>
      </c>
      <c r="C149" t="s">
        <v>11</v>
      </c>
      <c r="D149" t="s">
        <v>16</v>
      </c>
      <c r="E149" t="s">
        <v>31</v>
      </c>
      <c r="F149">
        <v>9</v>
      </c>
      <c r="G149">
        <v>45547</v>
      </c>
      <c r="H149" s="1">
        <v>45074</v>
      </c>
      <c r="I149">
        <v>409923</v>
      </c>
      <c r="J149">
        <v>9109.4</v>
      </c>
    </row>
    <row r="150" spans="1:10" x14ac:dyDescent="0.25">
      <c r="A150">
        <v>249</v>
      </c>
      <c r="B150" t="s">
        <v>14</v>
      </c>
      <c r="C150" t="s">
        <v>27</v>
      </c>
      <c r="D150" t="s">
        <v>22</v>
      </c>
      <c r="E150" t="s">
        <v>23</v>
      </c>
      <c r="F150">
        <v>5</v>
      </c>
      <c r="G150">
        <v>16317</v>
      </c>
      <c r="H150" s="1">
        <v>45075</v>
      </c>
      <c r="I150">
        <v>81585</v>
      </c>
      <c r="J150">
        <v>3263.4</v>
      </c>
    </row>
    <row r="151" spans="1:10" x14ac:dyDescent="0.25">
      <c r="A151">
        <v>250</v>
      </c>
      <c r="B151" t="s">
        <v>35</v>
      </c>
      <c r="C151" t="s">
        <v>24</v>
      </c>
      <c r="D151" t="s">
        <v>16</v>
      </c>
      <c r="E151" t="s">
        <v>31</v>
      </c>
      <c r="F151">
        <v>9</v>
      </c>
      <c r="G151">
        <v>8564</v>
      </c>
      <c r="H151" s="1">
        <v>45076</v>
      </c>
      <c r="I151">
        <v>77076</v>
      </c>
      <c r="J151">
        <v>1712.8</v>
      </c>
    </row>
    <row r="152" spans="1:10" x14ac:dyDescent="0.25">
      <c r="A152">
        <v>251</v>
      </c>
      <c r="B152" t="s">
        <v>26</v>
      </c>
      <c r="C152" t="s">
        <v>15</v>
      </c>
      <c r="D152" t="s">
        <v>16</v>
      </c>
      <c r="E152" t="s">
        <v>29</v>
      </c>
      <c r="F152">
        <v>3</v>
      </c>
      <c r="G152">
        <v>28345</v>
      </c>
      <c r="H152" s="1">
        <v>45077</v>
      </c>
      <c r="I152">
        <v>85035</v>
      </c>
      <c r="J152">
        <v>5669</v>
      </c>
    </row>
    <row r="153" spans="1:10" x14ac:dyDescent="0.25">
      <c r="A153">
        <v>252</v>
      </c>
      <c r="B153" t="s">
        <v>10</v>
      </c>
      <c r="C153" t="s">
        <v>24</v>
      </c>
      <c r="D153" t="s">
        <v>19</v>
      </c>
      <c r="E153" t="s">
        <v>33</v>
      </c>
      <c r="F153">
        <v>4</v>
      </c>
      <c r="G153">
        <v>49288</v>
      </c>
      <c r="H153" s="1">
        <v>45078</v>
      </c>
      <c r="I153">
        <v>197152</v>
      </c>
      <c r="J153">
        <v>9857.6</v>
      </c>
    </row>
    <row r="154" spans="1:10" x14ac:dyDescent="0.25">
      <c r="A154">
        <v>253</v>
      </c>
      <c r="B154" t="s">
        <v>30</v>
      </c>
      <c r="C154" t="s">
        <v>24</v>
      </c>
      <c r="D154" t="s">
        <v>22</v>
      </c>
      <c r="E154" t="s">
        <v>17</v>
      </c>
      <c r="F154">
        <v>9</v>
      </c>
      <c r="G154">
        <v>29687</v>
      </c>
      <c r="H154" s="1">
        <v>45079</v>
      </c>
      <c r="I154">
        <v>267183</v>
      </c>
      <c r="J154">
        <v>5937.4</v>
      </c>
    </row>
    <row r="155" spans="1:10" x14ac:dyDescent="0.25">
      <c r="A155">
        <v>254</v>
      </c>
      <c r="B155" t="s">
        <v>18</v>
      </c>
      <c r="C155" t="s">
        <v>15</v>
      </c>
      <c r="D155" t="s">
        <v>19</v>
      </c>
      <c r="E155" t="s">
        <v>20</v>
      </c>
      <c r="F155">
        <v>6</v>
      </c>
      <c r="G155">
        <v>14737</v>
      </c>
      <c r="H155" s="1">
        <v>45080</v>
      </c>
      <c r="I155">
        <v>88422</v>
      </c>
      <c r="J155">
        <v>2947.4</v>
      </c>
    </row>
    <row r="156" spans="1:10" x14ac:dyDescent="0.25">
      <c r="A156">
        <v>255</v>
      </c>
      <c r="B156" t="s">
        <v>35</v>
      </c>
      <c r="C156" t="s">
        <v>11</v>
      </c>
      <c r="D156" t="s">
        <v>22</v>
      </c>
      <c r="E156" t="s">
        <v>20</v>
      </c>
      <c r="F156">
        <v>2</v>
      </c>
      <c r="G156">
        <v>10323</v>
      </c>
      <c r="H156" s="1">
        <v>45081</v>
      </c>
      <c r="I156">
        <v>20646</v>
      </c>
      <c r="J156">
        <v>2064.6</v>
      </c>
    </row>
    <row r="157" spans="1:10" x14ac:dyDescent="0.25">
      <c r="A157">
        <v>256</v>
      </c>
      <c r="B157" t="s">
        <v>21</v>
      </c>
      <c r="C157" t="s">
        <v>15</v>
      </c>
      <c r="D157" t="s">
        <v>22</v>
      </c>
      <c r="E157" t="s">
        <v>20</v>
      </c>
      <c r="F157">
        <v>7</v>
      </c>
      <c r="G157">
        <v>16229</v>
      </c>
      <c r="H157" s="1">
        <v>45082</v>
      </c>
      <c r="I157">
        <v>113603</v>
      </c>
      <c r="J157">
        <v>3245.8</v>
      </c>
    </row>
    <row r="158" spans="1:10" x14ac:dyDescent="0.25">
      <c r="A158">
        <v>257</v>
      </c>
      <c r="B158" t="s">
        <v>34</v>
      </c>
      <c r="C158" t="s">
        <v>11</v>
      </c>
      <c r="D158" t="s">
        <v>12</v>
      </c>
      <c r="E158" t="s">
        <v>23</v>
      </c>
      <c r="F158">
        <v>2</v>
      </c>
      <c r="G158">
        <v>45481</v>
      </c>
      <c r="H158" s="1">
        <v>45083</v>
      </c>
      <c r="I158">
        <v>90962</v>
      </c>
      <c r="J158">
        <v>9096.2000000000007</v>
      </c>
    </row>
    <row r="159" spans="1:10" x14ac:dyDescent="0.25">
      <c r="A159">
        <v>258</v>
      </c>
      <c r="B159" t="s">
        <v>26</v>
      </c>
      <c r="C159" t="s">
        <v>11</v>
      </c>
      <c r="D159" t="s">
        <v>22</v>
      </c>
      <c r="E159" t="s">
        <v>28</v>
      </c>
      <c r="F159">
        <v>2</v>
      </c>
      <c r="G159">
        <v>9502</v>
      </c>
      <c r="H159" s="1">
        <v>45084</v>
      </c>
      <c r="I159">
        <v>19004</v>
      </c>
      <c r="J159">
        <v>1900.4</v>
      </c>
    </row>
    <row r="160" spans="1:10" x14ac:dyDescent="0.25">
      <c r="A160">
        <v>259</v>
      </c>
      <c r="B160" t="s">
        <v>25</v>
      </c>
      <c r="C160" t="s">
        <v>11</v>
      </c>
      <c r="D160" t="s">
        <v>19</v>
      </c>
      <c r="E160" t="s">
        <v>28</v>
      </c>
      <c r="F160">
        <v>1</v>
      </c>
      <c r="G160">
        <v>1545</v>
      </c>
      <c r="H160" s="1">
        <v>45085</v>
      </c>
      <c r="I160">
        <v>1545</v>
      </c>
      <c r="J160">
        <v>309</v>
      </c>
    </row>
    <row r="161" spans="1:10" x14ac:dyDescent="0.25">
      <c r="A161">
        <v>260</v>
      </c>
      <c r="B161" t="s">
        <v>18</v>
      </c>
      <c r="C161" t="s">
        <v>15</v>
      </c>
      <c r="D161" t="s">
        <v>16</v>
      </c>
      <c r="E161" t="s">
        <v>13</v>
      </c>
      <c r="F161">
        <v>3</v>
      </c>
      <c r="G161">
        <v>38114</v>
      </c>
      <c r="H161" s="1">
        <v>45086</v>
      </c>
      <c r="I161">
        <v>114342</v>
      </c>
      <c r="J161">
        <v>7622.8</v>
      </c>
    </row>
    <row r="162" spans="1:10" x14ac:dyDescent="0.25">
      <c r="A162">
        <v>261</v>
      </c>
      <c r="B162" t="s">
        <v>30</v>
      </c>
      <c r="C162" t="s">
        <v>11</v>
      </c>
      <c r="D162" t="s">
        <v>22</v>
      </c>
      <c r="E162" t="s">
        <v>17</v>
      </c>
      <c r="F162">
        <v>6</v>
      </c>
      <c r="G162">
        <v>30430</v>
      </c>
      <c r="H162" s="1">
        <v>45087</v>
      </c>
      <c r="I162">
        <v>182580</v>
      </c>
      <c r="J162">
        <v>6086</v>
      </c>
    </row>
    <row r="163" spans="1:10" x14ac:dyDescent="0.25">
      <c r="A163">
        <v>262</v>
      </c>
      <c r="B163" t="s">
        <v>18</v>
      </c>
      <c r="C163" t="s">
        <v>27</v>
      </c>
      <c r="D163" t="s">
        <v>12</v>
      </c>
      <c r="E163" t="s">
        <v>20</v>
      </c>
      <c r="F163">
        <v>8</v>
      </c>
      <c r="G163">
        <v>10996</v>
      </c>
      <c r="H163" s="1">
        <v>45088</v>
      </c>
      <c r="I163">
        <v>87968</v>
      </c>
      <c r="J163">
        <v>2199.1999999999998</v>
      </c>
    </row>
    <row r="164" spans="1:10" x14ac:dyDescent="0.25">
      <c r="A164">
        <v>263</v>
      </c>
      <c r="B164" t="s">
        <v>35</v>
      </c>
      <c r="C164" t="s">
        <v>15</v>
      </c>
      <c r="D164" t="s">
        <v>19</v>
      </c>
      <c r="E164" t="s">
        <v>28</v>
      </c>
      <c r="F164">
        <v>9</v>
      </c>
      <c r="G164">
        <v>28788</v>
      </c>
      <c r="H164" s="1">
        <v>45089</v>
      </c>
      <c r="I164">
        <v>259092</v>
      </c>
      <c r="J164">
        <v>5757.6</v>
      </c>
    </row>
    <row r="165" spans="1:10" x14ac:dyDescent="0.25">
      <c r="A165">
        <v>264</v>
      </c>
      <c r="B165" t="s">
        <v>14</v>
      </c>
      <c r="C165" t="s">
        <v>27</v>
      </c>
      <c r="D165" t="s">
        <v>22</v>
      </c>
      <c r="E165" t="s">
        <v>23</v>
      </c>
      <c r="F165">
        <v>7</v>
      </c>
      <c r="G165">
        <v>30969</v>
      </c>
      <c r="H165" s="1">
        <v>45090</v>
      </c>
      <c r="I165">
        <v>216783</v>
      </c>
      <c r="J165">
        <v>6193.8</v>
      </c>
    </row>
    <row r="166" spans="1:10" x14ac:dyDescent="0.25">
      <c r="A166">
        <v>265</v>
      </c>
      <c r="B166" t="s">
        <v>34</v>
      </c>
      <c r="C166" t="s">
        <v>11</v>
      </c>
      <c r="D166" t="s">
        <v>19</v>
      </c>
      <c r="E166" t="s">
        <v>13</v>
      </c>
      <c r="F166">
        <v>4</v>
      </c>
      <c r="G166">
        <v>49543</v>
      </c>
      <c r="H166" s="1">
        <v>45091</v>
      </c>
      <c r="I166">
        <v>198172</v>
      </c>
      <c r="J166">
        <v>9908.6</v>
      </c>
    </row>
    <row r="167" spans="1:10" x14ac:dyDescent="0.25">
      <c r="A167">
        <v>266</v>
      </c>
      <c r="B167" t="s">
        <v>34</v>
      </c>
      <c r="C167" t="s">
        <v>24</v>
      </c>
      <c r="D167" t="s">
        <v>12</v>
      </c>
      <c r="E167" t="s">
        <v>33</v>
      </c>
      <c r="F167">
        <v>6</v>
      </c>
      <c r="G167">
        <v>14919</v>
      </c>
      <c r="H167" s="1">
        <v>45092</v>
      </c>
      <c r="I167">
        <v>89514</v>
      </c>
      <c r="J167">
        <v>2983.8</v>
      </c>
    </row>
    <row r="168" spans="1:10" x14ac:dyDescent="0.25">
      <c r="A168">
        <v>267</v>
      </c>
      <c r="B168" t="s">
        <v>25</v>
      </c>
      <c r="C168" t="s">
        <v>11</v>
      </c>
      <c r="D168" t="s">
        <v>12</v>
      </c>
      <c r="E168" t="s">
        <v>13</v>
      </c>
      <c r="F168">
        <v>5</v>
      </c>
      <c r="G168">
        <v>4810</v>
      </c>
      <c r="H168" s="1">
        <v>45093</v>
      </c>
      <c r="I168">
        <v>24050</v>
      </c>
      <c r="J168">
        <v>962</v>
      </c>
    </row>
    <row r="169" spans="1:10" x14ac:dyDescent="0.25">
      <c r="A169">
        <v>268</v>
      </c>
      <c r="B169" t="s">
        <v>14</v>
      </c>
      <c r="C169" t="s">
        <v>27</v>
      </c>
      <c r="D169" t="s">
        <v>19</v>
      </c>
      <c r="E169" t="s">
        <v>28</v>
      </c>
      <c r="F169">
        <v>8</v>
      </c>
      <c r="G169">
        <v>31586</v>
      </c>
      <c r="H169" s="1">
        <v>45094</v>
      </c>
      <c r="I169">
        <v>252688</v>
      </c>
      <c r="J169">
        <v>6317.2</v>
      </c>
    </row>
    <row r="170" spans="1:10" x14ac:dyDescent="0.25">
      <c r="A170">
        <v>269</v>
      </c>
      <c r="B170" t="s">
        <v>10</v>
      </c>
      <c r="C170" t="s">
        <v>27</v>
      </c>
      <c r="D170" t="s">
        <v>22</v>
      </c>
      <c r="E170" t="s">
        <v>29</v>
      </c>
      <c r="F170">
        <v>1</v>
      </c>
      <c r="G170">
        <v>40974</v>
      </c>
      <c r="H170" s="1">
        <v>45095</v>
      </c>
      <c r="I170">
        <v>40974</v>
      </c>
      <c r="J170">
        <v>8194.7999999999993</v>
      </c>
    </row>
    <row r="171" spans="1:10" x14ac:dyDescent="0.25">
      <c r="A171">
        <v>270</v>
      </c>
      <c r="B171" t="s">
        <v>32</v>
      </c>
      <c r="C171" t="s">
        <v>15</v>
      </c>
      <c r="D171" t="s">
        <v>16</v>
      </c>
      <c r="E171" t="s">
        <v>23</v>
      </c>
      <c r="F171">
        <v>1</v>
      </c>
      <c r="G171">
        <v>42773</v>
      </c>
      <c r="H171" s="1">
        <v>45096</v>
      </c>
      <c r="I171">
        <v>42773</v>
      </c>
      <c r="J171">
        <v>8554.6</v>
      </c>
    </row>
    <row r="172" spans="1:10" x14ac:dyDescent="0.25">
      <c r="A172">
        <v>271</v>
      </c>
      <c r="B172" t="s">
        <v>26</v>
      </c>
      <c r="C172" t="s">
        <v>24</v>
      </c>
      <c r="D172" t="s">
        <v>12</v>
      </c>
      <c r="E172" t="s">
        <v>29</v>
      </c>
      <c r="F172">
        <v>6</v>
      </c>
      <c r="G172">
        <v>17371</v>
      </c>
      <c r="H172" s="1">
        <v>45097</v>
      </c>
      <c r="I172">
        <v>104226</v>
      </c>
      <c r="J172">
        <v>3474.2</v>
      </c>
    </row>
    <row r="173" spans="1:10" x14ac:dyDescent="0.25">
      <c r="A173">
        <v>272</v>
      </c>
      <c r="B173" t="s">
        <v>34</v>
      </c>
      <c r="C173" t="s">
        <v>15</v>
      </c>
      <c r="D173" t="s">
        <v>22</v>
      </c>
      <c r="E173" t="s">
        <v>20</v>
      </c>
      <c r="F173">
        <v>2</v>
      </c>
      <c r="G173">
        <v>46084</v>
      </c>
      <c r="H173" s="1">
        <v>45098</v>
      </c>
      <c r="I173">
        <v>92168</v>
      </c>
      <c r="J173">
        <v>9216.7999999999993</v>
      </c>
    </row>
    <row r="174" spans="1:10" x14ac:dyDescent="0.25">
      <c r="A174">
        <v>273</v>
      </c>
      <c r="B174" t="s">
        <v>21</v>
      </c>
      <c r="C174" t="s">
        <v>27</v>
      </c>
      <c r="D174" t="s">
        <v>22</v>
      </c>
      <c r="E174" t="s">
        <v>29</v>
      </c>
      <c r="F174">
        <v>5</v>
      </c>
      <c r="G174">
        <v>30629</v>
      </c>
      <c r="H174" s="1">
        <v>45099</v>
      </c>
      <c r="I174">
        <v>153145</v>
      </c>
      <c r="J174">
        <v>6125.8</v>
      </c>
    </row>
    <row r="175" spans="1:10" x14ac:dyDescent="0.25">
      <c r="A175">
        <v>274</v>
      </c>
      <c r="B175" t="s">
        <v>34</v>
      </c>
      <c r="C175" t="s">
        <v>11</v>
      </c>
      <c r="D175" t="s">
        <v>16</v>
      </c>
      <c r="E175" t="s">
        <v>20</v>
      </c>
      <c r="F175">
        <v>1</v>
      </c>
      <c r="G175">
        <v>9436</v>
      </c>
      <c r="H175" s="1">
        <v>45100</v>
      </c>
      <c r="I175">
        <v>9436</v>
      </c>
      <c r="J175">
        <v>1887.2</v>
      </c>
    </row>
    <row r="176" spans="1:10" x14ac:dyDescent="0.25">
      <c r="A176">
        <v>275</v>
      </c>
      <c r="B176" t="s">
        <v>18</v>
      </c>
      <c r="C176" t="s">
        <v>24</v>
      </c>
      <c r="D176" t="s">
        <v>12</v>
      </c>
      <c r="E176" t="s">
        <v>20</v>
      </c>
      <c r="F176">
        <v>7</v>
      </c>
      <c r="G176">
        <v>13984</v>
      </c>
      <c r="H176" s="1">
        <v>45101</v>
      </c>
      <c r="I176">
        <v>97888</v>
      </c>
      <c r="J176">
        <v>2796.8</v>
      </c>
    </row>
    <row r="177" spans="1:10" x14ac:dyDescent="0.25">
      <c r="A177">
        <v>276</v>
      </c>
      <c r="B177" t="s">
        <v>34</v>
      </c>
      <c r="C177" t="s">
        <v>11</v>
      </c>
      <c r="D177" t="s">
        <v>12</v>
      </c>
      <c r="E177" t="s">
        <v>28</v>
      </c>
      <c r="F177">
        <v>1</v>
      </c>
      <c r="G177">
        <v>34039</v>
      </c>
      <c r="H177" s="1">
        <v>45102</v>
      </c>
      <c r="I177">
        <v>34039</v>
      </c>
      <c r="J177">
        <v>6807.8</v>
      </c>
    </row>
    <row r="178" spans="1:10" x14ac:dyDescent="0.25">
      <c r="A178">
        <v>277</v>
      </c>
      <c r="B178" t="s">
        <v>34</v>
      </c>
      <c r="C178" t="s">
        <v>11</v>
      </c>
      <c r="D178" t="s">
        <v>22</v>
      </c>
      <c r="E178" t="s">
        <v>29</v>
      </c>
      <c r="F178">
        <v>4</v>
      </c>
      <c r="G178">
        <v>20895</v>
      </c>
      <c r="H178" s="1">
        <v>45103</v>
      </c>
      <c r="I178">
        <v>83580</v>
      </c>
      <c r="J178">
        <v>4179</v>
      </c>
    </row>
    <row r="179" spans="1:10" x14ac:dyDescent="0.25">
      <c r="A179">
        <v>278</v>
      </c>
      <c r="B179" t="s">
        <v>32</v>
      </c>
      <c r="C179" t="s">
        <v>24</v>
      </c>
      <c r="D179" t="s">
        <v>22</v>
      </c>
      <c r="E179" t="s">
        <v>20</v>
      </c>
      <c r="F179">
        <v>9</v>
      </c>
      <c r="G179">
        <v>19155</v>
      </c>
      <c r="H179" s="1">
        <v>45104</v>
      </c>
      <c r="I179">
        <v>172395</v>
      </c>
      <c r="J179">
        <v>3831</v>
      </c>
    </row>
    <row r="180" spans="1:10" x14ac:dyDescent="0.25">
      <c r="A180">
        <v>279</v>
      </c>
      <c r="B180" t="s">
        <v>32</v>
      </c>
      <c r="C180" t="s">
        <v>15</v>
      </c>
      <c r="D180" t="s">
        <v>16</v>
      </c>
      <c r="E180" t="s">
        <v>17</v>
      </c>
      <c r="F180">
        <v>1</v>
      </c>
      <c r="G180">
        <v>11616</v>
      </c>
      <c r="H180" s="1">
        <v>45105</v>
      </c>
      <c r="I180">
        <v>11616</v>
      </c>
      <c r="J180">
        <v>2323.1999999999998</v>
      </c>
    </row>
    <row r="181" spans="1:10" x14ac:dyDescent="0.25">
      <c r="A181">
        <v>280</v>
      </c>
      <c r="B181" t="s">
        <v>30</v>
      </c>
      <c r="C181" t="s">
        <v>11</v>
      </c>
      <c r="D181" t="s">
        <v>16</v>
      </c>
      <c r="E181" t="s">
        <v>33</v>
      </c>
      <c r="F181">
        <v>4</v>
      </c>
      <c r="G181">
        <v>38129</v>
      </c>
      <c r="H181" s="1">
        <v>45106</v>
      </c>
      <c r="I181">
        <v>152516</v>
      </c>
      <c r="J181">
        <v>7625.8</v>
      </c>
    </row>
    <row r="182" spans="1:10" x14ac:dyDescent="0.25">
      <c r="A182">
        <v>281</v>
      </c>
      <c r="B182" t="s">
        <v>10</v>
      </c>
      <c r="C182" t="s">
        <v>27</v>
      </c>
      <c r="D182" t="s">
        <v>12</v>
      </c>
      <c r="E182" t="s">
        <v>13</v>
      </c>
      <c r="F182">
        <v>6</v>
      </c>
      <c r="G182">
        <v>40837</v>
      </c>
      <c r="H182" s="1">
        <v>45107</v>
      </c>
      <c r="I182">
        <v>245022</v>
      </c>
      <c r="J182">
        <v>8167.4</v>
      </c>
    </row>
    <row r="183" spans="1:10" x14ac:dyDescent="0.25">
      <c r="A183">
        <v>282</v>
      </c>
      <c r="B183" t="s">
        <v>21</v>
      </c>
      <c r="C183" t="s">
        <v>11</v>
      </c>
      <c r="D183" t="s">
        <v>19</v>
      </c>
      <c r="E183" t="s">
        <v>13</v>
      </c>
      <c r="F183">
        <v>6</v>
      </c>
      <c r="G183">
        <v>25574</v>
      </c>
      <c r="H183" s="1">
        <v>45108</v>
      </c>
      <c r="I183">
        <v>153444</v>
      </c>
      <c r="J183">
        <v>5114.8</v>
      </c>
    </row>
    <row r="184" spans="1:10" x14ac:dyDescent="0.25">
      <c r="A184">
        <v>283</v>
      </c>
      <c r="B184" t="s">
        <v>34</v>
      </c>
      <c r="C184" t="s">
        <v>24</v>
      </c>
      <c r="D184" t="s">
        <v>12</v>
      </c>
      <c r="E184" t="s">
        <v>28</v>
      </c>
      <c r="F184">
        <v>8</v>
      </c>
      <c r="G184">
        <v>4430</v>
      </c>
      <c r="H184" s="1">
        <v>45109</v>
      </c>
      <c r="I184">
        <v>35440</v>
      </c>
      <c r="J184">
        <v>886</v>
      </c>
    </row>
    <row r="185" spans="1:10" x14ac:dyDescent="0.25">
      <c r="A185">
        <v>284</v>
      </c>
      <c r="B185" t="s">
        <v>34</v>
      </c>
      <c r="C185" t="s">
        <v>24</v>
      </c>
      <c r="D185" t="s">
        <v>22</v>
      </c>
      <c r="E185" t="s">
        <v>29</v>
      </c>
      <c r="F185">
        <v>1</v>
      </c>
      <c r="G185">
        <v>13676</v>
      </c>
      <c r="H185" s="1">
        <v>45110</v>
      </c>
      <c r="I185">
        <v>13676</v>
      </c>
      <c r="J185">
        <v>2735.2</v>
      </c>
    </row>
    <row r="186" spans="1:10" x14ac:dyDescent="0.25">
      <c r="A186">
        <v>285</v>
      </c>
      <c r="B186" t="s">
        <v>26</v>
      </c>
      <c r="C186" t="s">
        <v>24</v>
      </c>
      <c r="D186" t="s">
        <v>12</v>
      </c>
      <c r="E186" t="s">
        <v>29</v>
      </c>
      <c r="F186">
        <v>7</v>
      </c>
      <c r="G186">
        <v>11816</v>
      </c>
      <c r="H186" s="1">
        <v>45111</v>
      </c>
      <c r="I186">
        <v>82712</v>
      </c>
      <c r="J186">
        <v>2363.1999999999998</v>
      </c>
    </row>
    <row r="187" spans="1:10" x14ac:dyDescent="0.25">
      <c r="A187">
        <v>286</v>
      </c>
      <c r="B187" t="s">
        <v>32</v>
      </c>
      <c r="C187" t="s">
        <v>15</v>
      </c>
      <c r="D187" t="s">
        <v>19</v>
      </c>
      <c r="E187" t="s">
        <v>20</v>
      </c>
      <c r="F187">
        <v>1</v>
      </c>
      <c r="G187">
        <v>33733</v>
      </c>
      <c r="H187" s="1">
        <v>45112</v>
      </c>
      <c r="I187">
        <v>33733</v>
      </c>
      <c r="J187">
        <v>6746.6</v>
      </c>
    </row>
    <row r="188" spans="1:10" x14ac:dyDescent="0.25">
      <c r="A188">
        <v>287</v>
      </c>
      <c r="B188" t="s">
        <v>21</v>
      </c>
      <c r="C188" t="s">
        <v>11</v>
      </c>
      <c r="D188" t="s">
        <v>16</v>
      </c>
      <c r="E188" t="s">
        <v>23</v>
      </c>
      <c r="F188">
        <v>7</v>
      </c>
      <c r="G188">
        <v>21144</v>
      </c>
      <c r="H188" s="1">
        <v>45113</v>
      </c>
      <c r="I188">
        <v>148008</v>
      </c>
      <c r="J188">
        <v>4228.8</v>
      </c>
    </row>
    <row r="189" spans="1:10" x14ac:dyDescent="0.25">
      <c r="A189">
        <v>288</v>
      </c>
      <c r="B189" t="s">
        <v>25</v>
      </c>
      <c r="C189" t="s">
        <v>15</v>
      </c>
      <c r="D189" t="s">
        <v>19</v>
      </c>
      <c r="E189" t="s">
        <v>31</v>
      </c>
      <c r="F189">
        <v>3</v>
      </c>
      <c r="G189">
        <v>3050</v>
      </c>
      <c r="H189" s="1">
        <v>45114</v>
      </c>
      <c r="I189">
        <v>9150</v>
      </c>
      <c r="J189">
        <v>610</v>
      </c>
    </row>
    <row r="190" spans="1:10" x14ac:dyDescent="0.25">
      <c r="A190">
        <v>289</v>
      </c>
      <c r="B190" t="s">
        <v>30</v>
      </c>
      <c r="C190" t="s">
        <v>15</v>
      </c>
      <c r="D190" t="s">
        <v>19</v>
      </c>
      <c r="E190" t="s">
        <v>20</v>
      </c>
      <c r="F190">
        <v>8</v>
      </c>
      <c r="G190">
        <v>45460</v>
      </c>
      <c r="H190" s="1">
        <v>45115</v>
      </c>
      <c r="I190">
        <v>363680</v>
      </c>
      <c r="J190">
        <v>9092</v>
      </c>
    </row>
    <row r="191" spans="1:10" x14ac:dyDescent="0.25">
      <c r="A191">
        <v>290</v>
      </c>
      <c r="B191" t="s">
        <v>10</v>
      </c>
      <c r="C191" t="s">
        <v>24</v>
      </c>
      <c r="D191" t="s">
        <v>19</v>
      </c>
      <c r="E191" t="s">
        <v>33</v>
      </c>
      <c r="F191">
        <v>3</v>
      </c>
      <c r="G191">
        <v>34933</v>
      </c>
      <c r="H191" s="1">
        <v>45116</v>
      </c>
      <c r="I191">
        <v>104799</v>
      </c>
      <c r="J191">
        <v>6986.6</v>
      </c>
    </row>
    <row r="192" spans="1:10" x14ac:dyDescent="0.25">
      <c r="A192">
        <v>291</v>
      </c>
      <c r="B192" t="s">
        <v>14</v>
      </c>
      <c r="C192" t="s">
        <v>24</v>
      </c>
      <c r="D192" t="s">
        <v>16</v>
      </c>
      <c r="E192" t="s">
        <v>17</v>
      </c>
      <c r="F192">
        <v>1</v>
      </c>
      <c r="G192">
        <v>25951</v>
      </c>
      <c r="H192" s="1">
        <v>45117</v>
      </c>
      <c r="I192">
        <v>25951</v>
      </c>
      <c r="J192">
        <v>5190.2</v>
      </c>
    </row>
    <row r="193" spans="1:10" x14ac:dyDescent="0.25">
      <c r="A193">
        <v>292</v>
      </c>
      <c r="B193" t="s">
        <v>10</v>
      </c>
      <c r="C193" t="s">
        <v>15</v>
      </c>
      <c r="D193" t="s">
        <v>19</v>
      </c>
      <c r="E193" t="s">
        <v>13</v>
      </c>
      <c r="F193">
        <v>8</v>
      </c>
      <c r="G193">
        <v>33413</v>
      </c>
      <c r="H193" s="1">
        <v>45118</v>
      </c>
      <c r="I193">
        <v>267304</v>
      </c>
      <c r="J193">
        <v>6682.6</v>
      </c>
    </row>
    <row r="194" spans="1:10" x14ac:dyDescent="0.25">
      <c r="A194">
        <v>293</v>
      </c>
      <c r="B194" t="s">
        <v>18</v>
      </c>
      <c r="C194" t="s">
        <v>11</v>
      </c>
      <c r="D194" t="s">
        <v>19</v>
      </c>
      <c r="E194" t="s">
        <v>20</v>
      </c>
      <c r="F194">
        <v>3</v>
      </c>
      <c r="G194">
        <v>35801</v>
      </c>
      <c r="H194" s="1">
        <v>45119</v>
      </c>
      <c r="I194">
        <v>107403</v>
      </c>
      <c r="J194">
        <v>7160.2</v>
      </c>
    </row>
    <row r="195" spans="1:10" x14ac:dyDescent="0.25">
      <c r="A195">
        <v>294</v>
      </c>
      <c r="B195" t="s">
        <v>34</v>
      </c>
      <c r="C195" t="s">
        <v>27</v>
      </c>
      <c r="D195" t="s">
        <v>19</v>
      </c>
      <c r="E195" t="s">
        <v>31</v>
      </c>
      <c r="F195">
        <v>2</v>
      </c>
      <c r="G195">
        <v>33913</v>
      </c>
      <c r="H195" s="1">
        <v>45120</v>
      </c>
      <c r="I195">
        <v>67826</v>
      </c>
      <c r="J195">
        <v>6782.6</v>
      </c>
    </row>
    <row r="196" spans="1:10" x14ac:dyDescent="0.25">
      <c r="A196">
        <v>295</v>
      </c>
      <c r="B196" t="s">
        <v>30</v>
      </c>
      <c r="C196" t="s">
        <v>15</v>
      </c>
      <c r="D196" t="s">
        <v>22</v>
      </c>
      <c r="E196" t="s">
        <v>31</v>
      </c>
      <c r="F196">
        <v>1</v>
      </c>
      <c r="G196">
        <v>48037</v>
      </c>
      <c r="H196" s="1">
        <v>45121</v>
      </c>
      <c r="I196">
        <v>48037</v>
      </c>
      <c r="J196">
        <v>9607.4</v>
      </c>
    </row>
    <row r="197" spans="1:10" x14ac:dyDescent="0.25">
      <c r="A197">
        <v>296</v>
      </c>
      <c r="B197" t="s">
        <v>18</v>
      </c>
      <c r="C197" t="s">
        <v>11</v>
      </c>
      <c r="D197" t="s">
        <v>19</v>
      </c>
      <c r="E197" t="s">
        <v>20</v>
      </c>
      <c r="F197">
        <v>3</v>
      </c>
      <c r="G197">
        <v>41600</v>
      </c>
      <c r="H197" s="1">
        <v>45122</v>
      </c>
      <c r="I197">
        <v>124800</v>
      </c>
      <c r="J197">
        <v>8320</v>
      </c>
    </row>
    <row r="198" spans="1:10" x14ac:dyDescent="0.25">
      <c r="A198">
        <v>297</v>
      </c>
      <c r="B198" t="s">
        <v>21</v>
      </c>
      <c r="C198" t="s">
        <v>24</v>
      </c>
      <c r="D198" t="s">
        <v>16</v>
      </c>
      <c r="E198" t="s">
        <v>28</v>
      </c>
      <c r="F198">
        <v>2</v>
      </c>
      <c r="G198">
        <v>26280</v>
      </c>
      <c r="H198" s="1">
        <v>45123</v>
      </c>
      <c r="I198">
        <v>52560</v>
      </c>
      <c r="J198">
        <v>5256</v>
      </c>
    </row>
    <row r="199" spans="1:10" x14ac:dyDescent="0.25">
      <c r="A199">
        <v>298</v>
      </c>
      <c r="B199" t="s">
        <v>14</v>
      </c>
      <c r="C199" t="s">
        <v>24</v>
      </c>
      <c r="D199" t="s">
        <v>19</v>
      </c>
      <c r="E199" t="s">
        <v>13</v>
      </c>
      <c r="F199">
        <v>2</v>
      </c>
      <c r="G199">
        <v>25557</v>
      </c>
      <c r="H199" s="1">
        <v>45124</v>
      </c>
      <c r="I199">
        <v>51114</v>
      </c>
      <c r="J199">
        <v>5111.3999999999996</v>
      </c>
    </row>
    <row r="200" spans="1:10" x14ac:dyDescent="0.25">
      <c r="A200">
        <v>299</v>
      </c>
      <c r="B200" t="s">
        <v>32</v>
      </c>
      <c r="C200" t="s">
        <v>11</v>
      </c>
      <c r="D200" t="s">
        <v>19</v>
      </c>
      <c r="E200" t="s">
        <v>28</v>
      </c>
      <c r="F200">
        <v>6</v>
      </c>
      <c r="G200">
        <v>48054</v>
      </c>
      <c r="H200" s="1">
        <v>45125</v>
      </c>
      <c r="I200">
        <v>288324</v>
      </c>
      <c r="J200">
        <v>9610.7999999999993</v>
      </c>
    </row>
    <row r="201" spans="1:10" x14ac:dyDescent="0.25">
      <c r="A201">
        <v>300</v>
      </c>
      <c r="B201" t="s">
        <v>30</v>
      </c>
      <c r="C201" t="s">
        <v>27</v>
      </c>
      <c r="D201" t="s">
        <v>16</v>
      </c>
      <c r="E201" t="s">
        <v>17</v>
      </c>
      <c r="F201">
        <v>1</v>
      </c>
      <c r="G201">
        <v>36400</v>
      </c>
      <c r="H201" s="1">
        <v>45126</v>
      </c>
      <c r="I201">
        <v>36400</v>
      </c>
      <c r="J201">
        <v>7280</v>
      </c>
    </row>
    <row r="202" spans="1:10" x14ac:dyDescent="0.25">
      <c r="A202">
        <v>301</v>
      </c>
      <c r="B202" t="s">
        <v>30</v>
      </c>
      <c r="C202" t="s">
        <v>24</v>
      </c>
      <c r="D202" t="s">
        <v>19</v>
      </c>
      <c r="E202" t="s">
        <v>31</v>
      </c>
      <c r="F202">
        <v>2</v>
      </c>
      <c r="G202">
        <v>5494</v>
      </c>
      <c r="H202" s="1">
        <v>45127</v>
      </c>
      <c r="I202">
        <v>10988</v>
      </c>
      <c r="J202">
        <v>1098.8</v>
      </c>
    </row>
    <row r="203" spans="1:10" x14ac:dyDescent="0.25">
      <c r="A203">
        <v>302</v>
      </c>
      <c r="B203" t="s">
        <v>34</v>
      </c>
      <c r="C203" t="s">
        <v>24</v>
      </c>
      <c r="D203" t="s">
        <v>16</v>
      </c>
      <c r="E203" t="s">
        <v>31</v>
      </c>
      <c r="F203">
        <v>6</v>
      </c>
      <c r="G203">
        <v>16152</v>
      </c>
      <c r="H203" s="1">
        <v>45128</v>
      </c>
      <c r="I203">
        <v>96912</v>
      </c>
      <c r="J203">
        <v>3230.4</v>
      </c>
    </row>
    <row r="204" spans="1:10" x14ac:dyDescent="0.25">
      <c r="A204">
        <v>303</v>
      </c>
      <c r="B204" t="s">
        <v>35</v>
      </c>
      <c r="C204" t="s">
        <v>24</v>
      </c>
      <c r="D204" t="s">
        <v>19</v>
      </c>
      <c r="E204" t="s">
        <v>33</v>
      </c>
      <c r="F204">
        <v>3</v>
      </c>
      <c r="G204">
        <v>24895</v>
      </c>
      <c r="H204" s="1">
        <v>45129</v>
      </c>
      <c r="I204">
        <v>74685</v>
      </c>
      <c r="J204">
        <v>4979</v>
      </c>
    </row>
    <row r="205" spans="1:10" x14ac:dyDescent="0.25">
      <c r="A205">
        <v>304</v>
      </c>
      <c r="B205" t="s">
        <v>30</v>
      </c>
      <c r="C205" t="s">
        <v>11</v>
      </c>
      <c r="D205" t="s">
        <v>16</v>
      </c>
      <c r="E205" t="s">
        <v>17</v>
      </c>
      <c r="F205">
        <v>4</v>
      </c>
      <c r="G205">
        <v>10155</v>
      </c>
      <c r="H205" s="1">
        <v>45130</v>
      </c>
      <c r="I205">
        <v>40620</v>
      </c>
      <c r="J205">
        <v>2031</v>
      </c>
    </row>
    <row r="206" spans="1:10" x14ac:dyDescent="0.25">
      <c r="A206">
        <v>305</v>
      </c>
      <c r="B206" t="s">
        <v>26</v>
      </c>
      <c r="C206" t="s">
        <v>15</v>
      </c>
      <c r="D206" t="s">
        <v>19</v>
      </c>
      <c r="E206" t="s">
        <v>31</v>
      </c>
      <c r="F206">
        <v>1</v>
      </c>
      <c r="G206">
        <v>32883</v>
      </c>
      <c r="H206" s="1">
        <v>45131</v>
      </c>
      <c r="I206">
        <v>32883</v>
      </c>
      <c r="J206">
        <v>6576.6</v>
      </c>
    </row>
    <row r="207" spans="1:10" x14ac:dyDescent="0.25">
      <c r="A207">
        <v>306</v>
      </c>
      <c r="B207" t="s">
        <v>14</v>
      </c>
      <c r="C207" t="s">
        <v>24</v>
      </c>
      <c r="D207" t="s">
        <v>19</v>
      </c>
      <c r="E207" t="s">
        <v>17</v>
      </c>
      <c r="F207">
        <v>8</v>
      </c>
      <c r="G207">
        <v>44194</v>
      </c>
      <c r="H207" s="1">
        <v>45132</v>
      </c>
      <c r="I207">
        <v>353552</v>
      </c>
      <c r="J207">
        <v>8838.7999999999993</v>
      </c>
    </row>
    <row r="208" spans="1:10" x14ac:dyDescent="0.25">
      <c r="A208">
        <v>307</v>
      </c>
      <c r="B208" t="s">
        <v>14</v>
      </c>
      <c r="C208" t="s">
        <v>15</v>
      </c>
      <c r="D208" t="s">
        <v>22</v>
      </c>
      <c r="E208" t="s">
        <v>13</v>
      </c>
      <c r="F208">
        <v>7</v>
      </c>
      <c r="G208">
        <v>44001</v>
      </c>
      <c r="H208" s="1">
        <v>45133</v>
      </c>
      <c r="I208">
        <v>308007</v>
      </c>
      <c r="J208">
        <v>8800.2000000000007</v>
      </c>
    </row>
    <row r="209" spans="1:10" x14ac:dyDescent="0.25">
      <c r="A209">
        <v>308</v>
      </c>
      <c r="B209" t="s">
        <v>26</v>
      </c>
      <c r="C209" t="s">
        <v>27</v>
      </c>
      <c r="D209" t="s">
        <v>22</v>
      </c>
      <c r="E209" t="s">
        <v>29</v>
      </c>
      <c r="F209">
        <v>7</v>
      </c>
      <c r="G209">
        <v>2828</v>
      </c>
      <c r="H209" s="1">
        <v>45134</v>
      </c>
      <c r="I209">
        <v>19796</v>
      </c>
      <c r="J209">
        <v>565.6</v>
      </c>
    </row>
    <row r="210" spans="1:10" x14ac:dyDescent="0.25">
      <c r="A210">
        <v>309</v>
      </c>
      <c r="B210" t="s">
        <v>25</v>
      </c>
      <c r="C210" t="s">
        <v>24</v>
      </c>
      <c r="D210" t="s">
        <v>19</v>
      </c>
      <c r="E210" t="s">
        <v>31</v>
      </c>
      <c r="F210">
        <v>3</v>
      </c>
      <c r="G210">
        <v>46028</v>
      </c>
      <c r="H210" s="1">
        <v>45135</v>
      </c>
      <c r="I210">
        <v>138084</v>
      </c>
      <c r="J210">
        <v>9205.6</v>
      </c>
    </row>
    <row r="211" spans="1:10" x14ac:dyDescent="0.25">
      <c r="A211">
        <v>310</v>
      </c>
      <c r="B211" t="s">
        <v>26</v>
      </c>
      <c r="C211" t="s">
        <v>24</v>
      </c>
      <c r="D211" t="s">
        <v>19</v>
      </c>
      <c r="E211" t="s">
        <v>33</v>
      </c>
      <c r="F211">
        <v>3</v>
      </c>
      <c r="G211">
        <v>42898</v>
      </c>
      <c r="H211" s="1">
        <v>45136</v>
      </c>
      <c r="I211">
        <v>128694</v>
      </c>
      <c r="J211">
        <v>8579.6</v>
      </c>
    </row>
    <row r="212" spans="1:10" x14ac:dyDescent="0.25">
      <c r="A212">
        <v>311</v>
      </c>
      <c r="B212" t="s">
        <v>26</v>
      </c>
      <c r="C212" t="s">
        <v>27</v>
      </c>
      <c r="D212" t="s">
        <v>12</v>
      </c>
      <c r="E212" t="s">
        <v>13</v>
      </c>
      <c r="F212">
        <v>2</v>
      </c>
      <c r="G212">
        <v>33123</v>
      </c>
      <c r="H212" s="1">
        <v>45137</v>
      </c>
      <c r="I212">
        <v>66246</v>
      </c>
      <c r="J212">
        <v>6624.6</v>
      </c>
    </row>
    <row r="213" spans="1:10" x14ac:dyDescent="0.25">
      <c r="A213">
        <v>312</v>
      </c>
      <c r="B213" t="s">
        <v>14</v>
      </c>
      <c r="C213" t="s">
        <v>24</v>
      </c>
      <c r="D213" t="s">
        <v>16</v>
      </c>
      <c r="E213" t="s">
        <v>20</v>
      </c>
      <c r="F213">
        <v>1</v>
      </c>
      <c r="G213">
        <v>38573</v>
      </c>
      <c r="H213" s="1">
        <v>45138</v>
      </c>
      <c r="I213">
        <v>38573</v>
      </c>
      <c r="J213">
        <v>7714.6</v>
      </c>
    </row>
    <row r="214" spans="1:10" x14ac:dyDescent="0.25">
      <c r="A214">
        <v>313</v>
      </c>
      <c r="B214" t="s">
        <v>10</v>
      </c>
      <c r="C214" t="s">
        <v>15</v>
      </c>
      <c r="D214" t="s">
        <v>12</v>
      </c>
      <c r="E214" t="s">
        <v>17</v>
      </c>
      <c r="F214">
        <v>7</v>
      </c>
      <c r="G214">
        <v>1806</v>
      </c>
      <c r="H214" s="1">
        <v>45139</v>
      </c>
      <c r="I214">
        <v>12642</v>
      </c>
      <c r="J214">
        <v>361.2</v>
      </c>
    </row>
    <row r="215" spans="1:10" x14ac:dyDescent="0.25">
      <c r="A215">
        <v>314</v>
      </c>
      <c r="B215" t="s">
        <v>14</v>
      </c>
      <c r="C215" t="s">
        <v>11</v>
      </c>
      <c r="D215" t="s">
        <v>22</v>
      </c>
      <c r="E215" t="s">
        <v>20</v>
      </c>
      <c r="F215">
        <v>7</v>
      </c>
      <c r="G215">
        <v>41970</v>
      </c>
      <c r="H215" s="1">
        <v>45140</v>
      </c>
      <c r="I215">
        <v>293790</v>
      </c>
      <c r="J215">
        <v>8394</v>
      </c>
    </row>
    <row r="216" spans="1:10" x14ac:dyDescent="0.25">
      <c r="A216">
        <v>315</v>
      </c>
      <c r="B216" t="s">
        <v>35</v>
      </c>
      <c r="C216" t="s">
        <v>15</v>
      </c>
      <c r="D216" t="s">
        <v>22</v>
      </c>
      <c r="E216" t="s">
        <v>28</v>
      </c>
      <c r="F216">
        <v>2</v>
      </c>
      <c r="G216">
        <v>30757</v>
      </c>
      <c r="H216" s="1">
        <v>45141</v>
      </c>
      <c r="I216">
        <v>61514</v>
      </c>
      <c r="J216">
        <v>6151.4</v>
      </c>
    </row>
    <row r="217" spans="1:10" x14ac:dyDescent="0.25">
      <c r="A217">
        <v>316</v>
      </c>
      <c r="B217" t="s">
        <v>34</v>
      </c>
      <c r="C217" t="s">
        <v>11</v>
      </c>
      <c r="D217" t="s">
        <v>22</v>
      </c>
      <c r="E217" t="s">
        <v>13</v>
      </c>
      <c r="F217">
        <v>7</v>
      </c>
      <c r="G217">
        <v>35636</v>
      </c>
      <c r="H217" s="1">
        <v>45142</v>
      </c>
      <c r="I217">
        <v>249452</v>
      </c>
      <c r="J217">
        <v>7127.2</v>
      </c>
    </row>
    <row r="218" spans="1:10" x14ac:dyDescent="0.25">
      <c r="A218">
        <v>317</v>
      </c>
      <c r="B218" t="s">
        <v>18</v>
      </c>
      <c r="C218" t="s">
        <v>11</v>
      </c>
      <c r="D218" t="s">
        <v>22</v>
      </c>
      <c r="E218" t="s">
        <v>20</v>
      </c>
      <c r="F218">
        <v>8</v>
      </c>
      <c r="G218">
        <v>15561</v>
      </c>
      <c r="H218" s="1">
        <v>45143</v>
      </c>
      <c r="I218">
        <v>124488</v>
      </c>
      <c r="J218">
        <v>3112.2</v>
      </c>
    </row>
    <row r="219" spans="1:10" x14ac:dyDescent="0.25">
      <c r="A219">
        <v>318</v>
      </c>
      <c r="B219" t="s">
        <v>10</v>
      </c>
      <c r="C219" t="s">
        <v>15</v>
      </c>
      <c r="D219" t="s">
        <v>19</v>
      </c>
      <c r="E219" t="s">
        <v>23</v>
      </c>
      <c r="F219">
        <v>1</v>
      </c>
      <c r="G219">
        <v>49280</v>
      </c>
      <c r="H219" s="1">
        <v>45144</v>
      </c>
      <c r="I219">
        <v>49280</v>
      </c>
      <c r="J219">
        <v>9856</v>
      </c>
    </row>
    <row r="220" spans="1:10" x14ac:dyDescent="0.25">
      <c r="A220">
        <v>319</v>
      </c>
      <c r="B220" t="s">
        <v>32</v>
      </c>
      <c r="C220" t="s">
        <v>15</v>
      </c>
      <c r="D220" t="s">
        <v>22</v>
      </c>
      <c r="E220" t="s">
        <v>23</v>
      </c>
      <c r="F220">
        <v>9</v>
      </c>
      <c r="G220">
        <v>25262</v>
      </c>
      <c r="H220" s="1">
        <v>45145</v>
      </c>
      <c r="I220">
        <v>227358</v>
      </c>
      <c r="J220">
        <v>5052.3999999999996</v>
      </c>
    </row>
    <row r="221" spans="1:10" x14ac:dyDescent="0.25">
      <c r="A221">
        <v>320</v>
      </c>
      <c r="B221" t="s">
        <v>18</v>
      </c>
      <c r="C221" t="s">
        <v>15</v>
      </c>
      <c r="D221" t="s">
        <v>19</v>
      </c>
      <c r="E221" t="s">
        <v>31</v>
      </c>
      <c r="F221">
        <v>7</v>
      </c>
      <c r="G221">
        <v>15899</v>
      </c>
      <c r="H221" s="1">
        <v>45146</v>
      </c>
      <c r="I221">
        <v>111293</v>
      </c>
      <c r="J221">
        <v>3179.8</v>
      </c>
    </row>
    <row r="222" spans="1:10" x14ac:dyDescent="0.25">
      <c r="A222">
        <v>321</v>
      </c>
      <c r="B222" t="s">
        <v>34</v>
      </c>
      <c r="C222" t="s">
        <v>15</v>
      </c>
      <c r="D222" t="s">
        <v>19</v>
      </c>
      <c r="E222" t="s">
        <v>17</v>
      </c>
      <c r="F222">
        <v>3</v>
      </c>
      <c r="G222">
        <v>49988</v>
      </c>
      <c r="H222" s="1">
        <v>45147</v>
      </c>
      <c r="I222">
        <v>149964</v>
      </c>
      <c r="J222">
        <v>9997.6</v>
      </c>
    </row>
    <row r="223" spans="1:10" x14ac:dyDescent="0.25">
      <c r="A223">
        <v>322</v>
      </c>
      <c r="B223" t="s">
        <v>35</v>
      </c>
      <c r="C223" t="s">
        <v>27</v>
      </c>
      <c r="D223" t="s">
        <v>22</v>
      </c>
      <c r="E223" t="s">
        <v>29</v>
      </c>
      <c r="F223">
        <v>8</v>
      </c>
      <c r="G223">
        <v>16934</v>
      </c>
      <c r="H223" s="1">
        <v>45148</v>
      </c>
      <c r="I223">
        <v>135472</v>
      </c>
      <c r="J223">
        <v>3386.8</v>
      </c>
    </row>
    <row r="224" spans="1:10" x14ac:dyDescent="0.25">
      <c r="A224">
        <v>323</v>
      </c>
      <c r="B224" t="s">
        <v>35</v>
      </c>
      <c r="C224" t="s">
        <v>24</v>
      </c>
      <c r="D224" t="s">
        <v>22</v>
      </c>
      <c r="E224" t="s">
        <v>13</v>
      </c>
      <c r="F224">
        <v>7</v>
      </c>
      <c r="G224">
        <v>39197</v>
      </c>
      <c r="H224" s="1">
        <v>45149</v>
      </c>
      <c r="I224">
        <v>274379</v>
      </c>
      <c r="J224">
        <v>7839.4</v>
      </c>
    </row>
    <row r="225" spans="1:10" x14ac:dyDescent="0.25">
      <c r="A225">
        <v>324</v>
      </c>
      <c r="B225" t="s">
        <v>32</v>
      </c>
      <c r="C225" t="s">
        <v>11</v>
      </c>
      <c r="D225" t="s">
        <v>16</v>
      </c>
      <c r="E225" t="s">
        <v>31</v>
      </c>
      <c r="F225">
        <v>8</v>
      </c>
      <c r="G225">
        <v>42844</v>
      </c>
      <c r="H225" s="1">
        <v>45150</v>
      </c>
      <c r="I225">
        <v>342752</v>
      </c>
      <c r="J225">
        <v>8568.7999999999993</v>
      </c>
    </row>
    <row r="226" spans="1:10" x14ac:dyDescent="0.25">
      <c r="A226">
        <v>325</v>
      </c>
      <c r="B226" t="s">
        <v>10</v>
      </c>
      <c r="C226" t="s">
        <v>15</v>
      </c>
      <c r="D226" t="s">
        <v>12</v>
      </c>
      <c r="E226" t="s">
        <v>33</v>
      </c>
      <c r="F226">
        <v>6</v>
      </c>
      <c r="G226">
        <v>37332</v>
      </c>
      <c r="H226" s="1">
        <v>45151</v>
      </c>
      <c r="I226">
        <v>223992</v>
      </c>
      <c r="J226">
        <v>7466.4</v>
      </c>
    </row>
    <row r="227" spans="1:10" x14ac:dyDescent="0.25">
      <c r="A227">
        <v>326</v>
      </c>
      <c r="B227" t="s">
        <v>25</v>
      </c>
      <c r="C227" t="s">
        <v>15</v>
      </c>
      <c r="D227" t="s">
        <v>22</v>
      </c>
      <c r="E227" t="s">
        <v>28</v>
      </c>
      <c r="F227">
        <v>9</v>
      </c>
      <c r="G227">
        <v>35157</v>
      </c>
      <c r="H227" s="1">
        <v>45152</v>
      </c>
      <c r="I227">
        <v>316413</v>
      </c>
      <c r="J227">
        <v>7031.4</v>
      </c>
    </row>
    <row r="228" spans="1:10" x14ac:dyDescent="0.25">
      <c r="A228">
        <v>327</v>
      </c>
      <c r="B228" t="s">
        <v>26</v>
      </c>
      <c r="C228" t="s">
        <v>15</v>
      </c>
      <c r="D228" t="s">
        <v>16</v>
      </c>
      <c r="E228" t="s">
        <v>17</v>
      </c>
      <c r="F228">
        <v>5</v>
      </c>
      <c r="G228">
        <v>12593</v>
      </c>
      <c r="H228" s="1">
        <v>45153</v>
      </c>
      <c r="I228">
        <v>62965</v>
      </c>
      <c r="J228">
        <v>2518.6</v>
      </c>
    </row>
    <row r="229" spans="1:10" x14ac:dyDescent="0.25">
      <c r="A229">
        <v>328</v>
      </c>
      <c r="B229" t="s">
        <v>10</v>
      </c>
      <c r="C229" t="s">
        <v>27</v>
      </c>
      <c r="D229" t="s">
        <v>16</v>
      </c>
      <c r="E229" t="s">
        <v>13</v>
      </c>
      <c r="F229">
        <v>3</v>
      </c>
      <c r="G229">
        <v>41042</v>
      </c>
      <c r="H229" s="1">
        <v>45154</v>
      </c>
      <c r="I229">
        <v>123126</v>
      </c>
      <c r="J229">
        <v>8208.4</v>
      </c>
    </row>
    <row r="230" spans="1:10" x14ac:dyDescent="0.25">
      <c r="A230">
        <v>329</v>
      </c>
      <c r="B230" t="s">
        <v>25</v>
      </c>
      <c r="C230" t="s">
        <v>15</v>
      </c>
      <c r="D230" t="s">
        <v>12</v>
      </c>
      <c r="E230" t="s">
        <v>23</v>
      </c>
      <c r="F230">
        <v>3</v>
      </c>
      <c r="G230">
        <v>18320</v>
      </c>
      <c r="H230" s="1">
        <v>45155</v>
      </c>
      <c r="I230">
        <v>54960</v>
      </c>
      <c r="J230">
        <v>3664</v>
      </c>
    </row>
    <row r="231" spans="1:10" x14ac:dyDescent="0.25">
      <c r="A231">
        <v>330</v>
      </c>
      <c r="B231" t="s">
        <v>35</v>
      </c>
      <c r="C231" t="s">
        <v>15</v>
      </c>
      <c r="D231" t="s">
        <v>19</v>
      </c>
      <c r="E231" t="s">
        <v>13</v>
      </c>
      <c r="F231">
        <v>1</v>
      </c>
      <c r="G231">
        <v>28376</v>
      </c>
      <c r="H231" s="1">
        <v>45156</v>
      </c>
      <c r="I231">
        <v>28376</v>
      </c>
      <c r="J231">
        <v>5675.2</v>
      </c>
    </row>
    <row r="232" spans="1:10" x14ac:dyDescent="0.25">
      <c r="A232">
        <v>331</v>
      </c>
      <c r="B232" t="s">
        <v>14</v>
      </c>
      <c r="C232" t="s">
        <v>15</v>
      </c>
      <c r="D232" t="s">
        <v>22</v>
      </c>
      <c r="E232" t="s">
        <v>29</v>
      </c>
      <c r="F232">
        <v>8</v>
      </c>
      <c r="G232">
        <v>44513</v>
      </c>
      <c r="H232" s="1">
        <v>45157</v>
      </c>
      <c r="I232">
        <v>356104</v>
      </c>
      <c r="J232">
        <v>8902.6</v>
      </c>
    </row>
    <row r="233" spans="1:10" x14ac:dyDescent="0.25">
      <c r="A233">
        <v>332</v>
      </c>
      <c r="B233" t="s">
        <v>34</v>
      </c>
      <c r="C233" t="s">
        <v>24</v>
      </c>
      <c r="D233" t="s">
        <v>12</v>
      </c>
      <c r="E233" t="s">
        <v>23</v>
      </c>
      <c r="F233">
        <v>2</v>
      </c>
      <c r="G233">
        <v>15199</v>
      </c>
      <c r="H233" s="1">
        <v>45158</v>
      </c>
      <c r="I233">
        <v>30398</v>
      </c>
      <c r="J233">
        <v>3039.8</v>
      </c>
    </row>
    <row r="234" spans="1:10" x14ac:dyDescent="0.25">
      <c r="A234">
        <v>333</v>
      </c>
      <c r="B234" t="s">
        <v>32</v>
      </c>
      <c r="C234" t="s">
        <v>27</v>
      </c>
      <c r="D234" t="s">
        <v>22</v>
      </c>
      <c r="E234" t="s">
        <v>29</v>
      </c>
      <c r="F234">
        <v>3</v>
      </c>
      <c r="G234">
        <v>16876</v>
      </c>
      <c r="H234" s="1">
        <v>45159</v>
      </c>
      <c r="I234">
        <v>50628</v>
      </c>
      <c r="J234">
        <v>3375.2</v>
      </c>
    </row>
    <row r="235" spans="1:10" x14ac:dyDescent="0.25">
      <c r="A235">
        <v>334</v>
      </c>
      <c r="B235" t="s">
        <v>34</v>
      </c>
      <c r="C235" t="s">
        <v>15</v>
      </c>
      <c r="D235" t="s">
        <v>16</v>
      </c>
      <c r="E235" t="s">
        <v>33</v>
      </c>
      <c r="F235">
        <v>8</v>
      </c>
      <c r="G235">
        <v>9245</v>
      </c>
      <c r="H235" s="1">
        <v>45160</v>
      </c>
      <c r="I235">
        <v>73960</v>
      </c>
      <c r="J235">
        <v>1849</v>
      </c>
    </row>
    <row r="236" spans="1:10" x14ac:dyDescent="0.25">
      <c r="A236">
        <v>335</v>
      </c>
      <c r="B236" t="s">
        <v>21</v>
      </c>
      <c r="C236" t="s">
        <v>11</v>
      </c>
      <c r="D236" t="s">
        <v>16</v>
      </c>
      <c r="E236" t="s">
        <v>28</v>
      </c>
      <c r="F236">
        <v>8</v>
      </c>
      <c r="G236">
        <v>8214</v>
      </c>
      <c r="H236" s="1">
        <v>45161</v>
      </c>
      <c r="I236">
        <v>65712</v>
      </c>
      <c r="J236">
        <v>1642.8</v>
      </c>
    </row>
    <row r="237" spans="1:10" x14ac:dyDescent="0.25">
      <c r="A237">
        <v>336</v>
      </c>
      <c r="B237" t="s">
        <v>21</v>
      </c>
      <c r="C237" t="s">
        <v>11</v>
      </c>
      <c r="D237" t="s">
        <v>19</v>
      </c>
      <c r="E237" t="s">
        <v>33</v>
      </c>
      <c r="F237">
        <v>4</v>
      </c>
      <c r="G237">
        <v>1726</v>
      </c>
      <c r="H237" s="1">
        <v>45162</v>
      </c>
      <c r="I237">
        <v>6904</v>
      </c>
      <c r="J237">
        <v>345.2</v>
      </c>
    </row>
    <row r="238" spans="1:10" x14ac:dyDescent="0.25">
      <c r="A238">
        <v>337</v>
      </c>
      <c r="B238" t="s">
        <v>10</v>
      </c>
      <c r="C238" t="s">
        <v>11</v>
      </c>
      <c r="D238" t="s">
        <v>16</v>
      </c>
      <c r="E238" t="s">
        <v>31</v>
      </c>
      <c r="F238">
        <v>4</v>
      </c>
      <c r="G238">
        <v>47600</v>
      </c>
      <c r="H238" s="1">
        <v>45163</v>
      </c>
      <c r="I238">
        <v>190400</v>
      </c>
      <c r="J238">
        <v>9520</v>
      </c>
    </row>
    <row r="239" spans="1:10" x14ac:dyDescent="0.25">
      <c r="A239">
        <v>338</v>
      </c>
      <c r="B239" t="s">
        <v>35</v>
      </c>
      <c r="C239" t="s">
        <v>27</v>
      </c>
      <c r="D239" t="s">
        <v>16</v>
      </c>
      <c r="E239" t="s">
        <v>31</v>
      </c>
      <c r="F239">
        <v>5</v>
      </c>
      <c r="G239">
        <v>12362</v>
      </c>
      <c r="H239" s="1">
        <v>45164</v>
      </c>
      <c r="I239">
        <v>61810</v>
      </c>
      <c r="J239">
        <v>2472.4</v>
      </c>
    </row>
    <row r="240" spans="1:10" x14ac:dyDescent="0.25">
      <c r="A240">
        <v>339</v>
      </c>
      <c r="B240" t="s">
        <v>35</v>
      </c>
      <c r="C240" t="s">
        <v>27</v>
      </c>
      <c r="D240" t="s">
        <v>12</v>
      </c>
      <c r="E240" t="s">
        <v>33</v>
      </c>
      <c r="F240">
        <v>6</v>
      </c>
      <c r="G240">
        <v>19297</v>
      </c>
      <c r="H240" s="1">
        <v>45165</v>
      </c>
      <c r="I240">
        <v>115782</v>
      </c>
      <c r="J240">
        <v>3859.4</v>
      </c>
    </row>
    <row r="241" spans="1:10" x14ac:dyDescent="0.25">
      <c r="A241">
        <v>340</v>
      </c>
      <c r="B241" t="s">
        <v>26</v>
      </c>
      <c r="C241" t="s">
        <v>11</v>
      </c>
      <c r="D241" t="s">
        <v>22</v>
      </c>
      <c r="E241" t="s">
        <v>28</v>
      </c>
      <c r="F241">
        <v>5</v>
      </c>
      <c r="G241">
        <v>31448</v>
      </c>
      <c r="H241" s="1">
        <v>45166</v>
      </c>
      <c r="I241">
        <v>157240</v>
      </c>
      <c r="J241">
        <v>6289.6</v>
      </c>
    </row>
    <row r="242" spans="1:10" x14ac:dyDescent="0.25">
      <c r="A242">
        <v>341</v>
      </c>
      <c r="B242" t="s">
        <v>26</v>
      </c>
      <c r="C242" t="s">
        <v>15</v>
      </c>
      <c r="D242" t="s">
        <v>22</v>
      </c>
      <c r="E242" t="s">
        <v>33</v>
      </c>
      <c r="F242">
        <v>7</v>
      </c>
      <c r="G242">
        <v>27172</v>
      </c>
      <c r="H242" s="1">
        <v>45167</v>
      </c>
      <c r="I242">
        <v>190204</v>
      </c>
      <c r="J242">
        <v>5434.4</v>
      </c>
    </row>
    <row r="243" spans="1:10" x14ac:dyDescent="0.25">
      <c r="A243">
        <v>342</v>
      </c>
      <c r="B243" t="s">
        <v>26</v>
      </c>
      <c r="C243" t="s">
        <v>27</v>
      </c>
      <c r="D243" t="s">
        <v>12</v>
      </c>
      <c r="E243" t="s">
        <v>28</v>
      </c>
      <c r="F243">
        <v>2</v>
      </c>
      <c r="G243">
        <v>43874</v>
      </c>
      <c r="H243" s="1">
        <v>45168</v>
      </c>
      <c r="I243">
        <v>87748</v>
      </c>
      <c r="J243">
        <v>8774.7999999999993</v>
      </c>
    </row>
    <row r="244" spans="1:10" x14ac:dyDescent="0.25">
      <c r="A244">
        <v>343</v>
      </c>
      <c r="B244" t="s">
        <v>14</v>
      </c>
      <c r="C244" t="s">
        <v>11</v>
      </c>
      <c r="D244" t="s">
        <v>19</v>
      </c>
      <c r="E244" t="s">
        <v>28</v>
      </c>
      <c r="F244">
        <v>7</v>
      </c>
      <c r="G244">
        <v>8657</v>
      </c>
      <c r="H244" s="1">
        <v>45169</v>
      </c>
      <c r="I244">
        <v>60599</v>
      </c>
      <c r="J244">
        <v>1731.4</v>
      </c>
    </row>
    <row r="245" spans="1:10" x14ac:dyDescent="0.25">
      <c r="A245">
        <v>344</v>
      </c>
      <c r="B245" t="s">
        <v>18</v>
      </c>
      <c r="C245" t="s">
        <v>11</v>
      </c>
      <c r="D245" t="s">
        <v>22</v>
      </c>
      <c r="E245" t="s">
        <v>20</v>
      </c>
      <c r="F245">
        <v>7</v>
      </c>
      <c r="G245">
        <v>19850</v>
      </c>
      <c r="H245" s="1">
        <v>45170</v>
      </c>
      <c r="I245">
        <v>138950</v>
      </c>
      <c r="J245">
        <v>3970</v>
      </c>
    </row>
    <row r="246" spans="1:10" x14ac:dyDescent="0.25">
      <c r="A246">
        <v>345</v>
      </c>
      <c r="B246" t="s">
        <v>30</v>
      </c>
      <c r="C246" t="s">
        <v>15</v>
      </c>
      <c r="D246" t="s">
        <v>16</v>
      </c>
      <c r="E246" t="s">
        <v>23</v>
      </c>
      <c r="F246">
        <v>1</v>
      </c>
      <c r="G246">
        <v>26425</v>
      </c>
      <c r="H246" s="1">
        <v>45171</v>
      </c>
      <c r="I246">
        <v>26425</v>
      </c>
      <c r="J246">
        <v>5285</v>
      </c>
    </row>
    <row r="247" spans="1:10" x14ac:dyDescent="0.25">
      <c r="A247">
        <v>346</v>
      </c>
      <c r="B247" t="s">
        <v>18</v>
      </c>
      <c r="C247" t="s">
        <v>24</v>
      </c>
      <c r="D247" t="s">
        <v>22</v>
      </c>
      <c r="E247" t="s">
        <v>17</v>
      </c>
      <c r="F247">
        <v>7</v>
      </c>
      <c r="G247">
        <v>27685</v>
      </c>
      <c r="H247" s="1">
        <v>45172</v>
      </c>
      <c r="I247">
        <v>193795</v>
      </c>
      <c r="J247">
        <v>5537</v>
      </c>
    </row>
    <row r="248" spans="1:10" x14ac:dyDescent="0.25">
      <c r="A248">
        <v>347</v>
      </c>
      <c r="B248" t="s">
        <v>34</v>
      </c>
      <c r="C248" t="s">
        <v>27</v>
      </c>
      <c r="D248" t="s">
        <v>16</v>
      </c>
      <c r="E248" t="s">
        <v>28</v>
      </c>
      <c r="F248">
        <v>5</v>
      </c>
      <c r="G248">
        <v>48319</v>
      </c>
      <c r="H248" s="1">
        <v>45173</v>
      </c>
      <c r="I248">
        <v>241595</v>
      </c>
      <c r="J248">
        <v>9663.7999999999993</v>
      </c>
    </row>
    <row r="249" spans="1:10" x14ac:dyDescent="0.25">
      <c r="A249">
        <v>348</v>
      </c>
      <c r="B249" t="s">
        <v>18</v>
      </c>
      <c r="C249" t="s">
        <v>15</v>
      </c>
      <c r="D249" t="s">
        <v>19</v>
      </c>
      <c r="E249" t="s">
        <v>29</v>
      </c>
      <c r="F249">
        <v>3</v>
      </c>
      <c r="G249">
        <v>25578</v>
      </c>
      <c r="H249" s="1">
        <v>45174</v>
      </c>
      <c r="I249">
        <v>76734</v>
      </c>
      <c r="J249">
        <v>5115.6000000000004</v>
      </c>
    </row>
    <row r="250" spans="1:10" x14ac:dyDescent="0.25">
      <c r="A250">
        <v>349</v>
      </c>
      <c r="B250" t="s">
        <v>14</v>
      </c>
      <c r="C250" t="s">
        <v>11</v>
      </c>
      <c r="D250" t="s">
        <v>12</v>
      </c>
      <c r="E250" t="s">
        <v>28</v>
      </c>
      <c r="F250">
        <v>3</v>
      </c>
      <c r="G250">
        <v>29831</v>
      </c>
      <c r="H250" s="1">
        <v>45175</v>
      </c>
      <c r="I250">
        <v>89493</v>
      </c>
      <c r="J250">
        <v>5966.2</v>
      </c>
    </row>
    <row r="251" spans="1:10" x14ac:dyDescent="0.25">
      <c r="A251">
        <v>350</v>
      </c>
      <c r="B251" t="s">
        <v>34</v>
      </c>
      <c r="C251" t="s">
        <v>11</v>
      </c>
      <c r="D251" t="s">
        <v>22</v>
      </c>
      <c r="E251" t="s">
        <v>28</v>
      </c>
      <c r="F251">
        <v>4</v>
      </c>
      <c r="G251">
        <v>8906</v>
      </c>
      <c r="H251" s="1">
        <v>45176</v>
      </c>
      <c r="I251">
        <v>35624</v>
      </c>
      <c r="J251">
        <v>1781.2</v>
      </c>
    </row>
    <row r="252" spans="1:10" x14ac:dyDescent="0.25">
      <c r="A252">
        <v>351</v>
      </c>
      <c r="B252" t="s">
        <v>18</v>
      </c>
      <c r="C252" t="s">
        <v>15</v>
      </c>
      <c r="D252" t="s">
        <v>12</v>
      </c>
      <c r="E252" t="s">
        <v>28</v>
      </c>
      <c r="F252">
        <v>2</v>
      </c>
      <c r="G252">
        <v>8287</v>
      </c>
      <c r="H252" s="1">
        <v>45177</v>
      </c>
      <c r="I252">
        <v>16574</v>
      </c>
      <c r="J252">
        <v>1657.4</v>
      </c>
    </row>
    <row r="253" spans="1:10" x14ac:dyDescent="0.25">
      <c r="A253">
        <v>352</v>
      </c>
      <c r="B253" t="s">
        <v>14</v>
      </c>
      <c r="C253" t="s">
        <v>27</v>
      </c>
      <c r="D253" t="s">
        <v>22</v>
      </c>
      <c r="E253" t="s">
        <v>20</v>
      </c>
      <c r="F253">
        <v>2</v>
      </c>
      <c r="G253">
        <v>34660</v>
      </c>
      <c r="H253" s="1">
        <v>45178</v>
      </c>
      <c r="I253">
        <v>69320</v>
      </c>
      <c r="J253">
        <v>6932</v>
      </c>
    </row>
    <row r="254" spans="1:10" x14ac:dyDescent="0.25">
      <c r="A254">
        <v>353</v>
      </c>
      <c r="B254" t="s">
        <v>30</v>
      </c>
      <c r="C254" t="s">
        <v>24</v>
      </c>
      <c r="D254" t="s">
        <v>16</v>
      </c>
      <c r="E254" t="s">
        <v>23</v>
      </c>
      <c r="F254">
        <v>1</v>
      </c>
      <c r="G254">
        <v>11222</v>
      </c>
      <c r="H254" s="1">
        <v>45179</v>
      </c>
      <c r="I254">
        <v>11222</v>
      </c>
      <c r="J254">
        <v>2244.4</v>
      </c>
    </row>
    <row r="255" spans="1:10" x14ac:dyDescent="0.25">
      <c r="A255">
        <v>354</v>
      </c>
      <c r="B255" t="s">
        <v>18</v>
      </c>
      <c r="C255" t="s">
        <v>24</v>
      </c>
      <c r="D255" t="s">
        <v>12</v>
      </c>
      <c r="E255" t="s">
        <v>20</v>
      </c>
      <c r="F255">
        <v>5</v>
      </c>
      <c r="G255">
        <v>38443</v>
      </c>
      <c r="H255" s="1">
        <v>45180</v>
      </c>
      <c r="I255">
        <v>192215</v>
      </c>
      <c r="J255">
        <v>7688.6</v>
      </c>
    </row>
    <row r="256" spans="1:10" x14ac:dyDescent="0.25">
      <c r="A256">
        <v>355</v>
      </c>
      <c r="B256" t="s">
        <v>14</v>
      </c>
      <c r="C256" t="s">
        <v>11</v>
      </c>
      <c r="D256" t="s">
        <v>22</v>
      </c>
      <c r="E256" t="s">
        <v>31</v>
      </c>
      <c r="F256">
        <v>4</v>
      </c>
      <c r="G256">
        <v>35701</v>
      </c>
      <c r="H256" s="1">
        <v>45181</v>
      </c>
      <c r="I256">
        <v>142804</v>
      </c>
      <c r="J256">
        <v>7140.2</v>
      </c>
    </row>
    <row r="257" spans="1:10" x14ac:dyDescent="0.25">
      <c r="A257">
        <v>356</v>
      </c>
      <c r="B257" t="s">
        <v>26</v>
      </c>
      <c r="C257" t="s">
        <v>27</v>
      </c>
      <c r="D257" t="s">
        <v>16</v>
      </c>
      <c r="E257" t="s">
        <v>20</v>
      </c>
      <c r="F257">
        <v>2</v>
      </c>
      <c r="G257">
        <v>18764</v>
      </c>
      <c r="H257" s="1">
        <v>45182</v>
      </c>
      <c r="I257">
        <v>37528</v>
      </c>
      <c r="J257">
        <v>3752.8</v>
      </c>
    </row>
    <row r="258" spans="1:10" x14ac:dyDescent="0.25">
      <c r="A258">
        <v>357</v>
      </c>
      <c r="B258" t="s">
        <v>35</v>
      </c>
      <c r="C258" t="s">
        <v>24</v>
      </c>
      <c r="D258" t="s">
        <v>12</v>
      </c>
      <c r="E258" t="s">
        <v>29</v>
      </c>
      <c r="F258">
        <v>3</v>
      </c>
      <c r="G258">
        <v>45641</v>
      </c>
      <c r="H258" s="1">
        <v>45183</v>
      </c>
      <c r="I258">
        <v>136923</v>
      </c>
      <c r="J258">
        <v>9128.2000000000007</v>
      </c>
    </row>
    <row r="259" spans="1:10" x14ac:dyDescent="0.25">
      <c r="A259">
        <v>358</v>
      </c>
      <c r="B259" t="s">
        <v>26</v>
      </c>
      <c r="C259" t="s">
        <v>27</v>
      </c>
      <c r="D259" t="s">
        <v>12</v>
      </c>
      <c r="E259" t="s">
        <v>29</v>
      </c>
      <c r="F259">
        <v>7</v>
      </c>
      <c r="G259">
        <v>18674</v>
      </c>
      <c r="H259" s="1">
        <v>45184</v>
      </c>
      <c r="I259">
        <v>130718</v>
      </c>
      <c r="J259">
        <v>3734.8</v>
      </c>
    </row>
    <row r="260" spans="1:10" x14ac:dyDescent="0.25">
      <c r="A260">
        <v>359</v>
      </c>
      <c r="B260" t="s">
        <v>35</v>
      </c>
      <c r="C260" t="s">
        <v>27</v>
      </c>
      <c r="D260" t="s">
        <v>22</v>
      </c>
      <c r="E260" t="s">
        <v>20</v>
      </c>
      <c r="F260">
        <v>7</v>
      </c>
      <c r="G260">
        <v>19024</v>
      </c>
      <c r="H260" s="1">
        <v>45185</v>
      </c>
      <c r="I260">
        <v>133168</v>
      </c>
      <c r="J260">
        <v>3804.8</v>
      </c>
    </row>
    <row r="261" spans="1:10" x14ac:dyDescent="0.25">
      <c r="A261">
        <v>360</v>
      </c>
      <c r="B261" t="s">
        <v>32</v>
      </c>
      <c r="C261" t="s">
        <v>11</v>
      </c>
      <c r="D261" t="s">
        <v>22</v>
      </c>
      <c r="E261" t="s">
        <v>23</v>
      </c>
      <c r="F261">
        <v>4</v>
      </c>
      <c r="G261">
        <v>47007</v>
      </c>
      <c r="H261" s="1">
        <v>45186</v>
      </c>
      <c r="I261">
        <v>188028</v>
      </c>
      <c r="J261">
        <v>9401.4</v>
      </c>
    </row>
    <row r="262" spans="1:10" x14ac:dyDescent="0.25">
      <c r="A262">
        <v>361</v>
      </c>
      <c r="B262" t="s">
        <v>32</v>
      </c>
      <c r="C262" t="s">
        <v>24</v>
      </c>
      <c r="D262" t="s">
        <v>22</v>
      </c>
      <c r="E262" t="s">
        <v>33</v>
      </c>
      <c r="F262">
        <v>5</v>
      </c>
      <c r="G262">
        <v>24874</v>
      </c>
      <c r="H262" s="1">
        <v>45187</v>
      </c>
      <c r="I262">
        <v>124370</v>
      </c>
      <c r="J262">
        <v>4974.8</v>
      </c>
    </row>
    <row r="263" spans="1:10" x14ac:dyDescent="0.25">
      <c r="A263">
        <v>362</v>
      </c>
      <c r="B263" t="s">
        <v>32</v>
      </c>
      <c r="C263" t="s">
        <v>15</v>
      </c>
      <c r="D263" t="s">
        <v>16</v>
      </c>
      <c r="E263" t="s">
        <v>17</v>
      </c>
      <c r="F263">
        <v>5</v>
      </c>
      <c r="G263">
        <v>44642</v>
      </c>
      <c r="H263" s="1">
        <v>45188</v>
      </c>
      <c r="I263">
        <v>223210</v>
      </c>
      <c r="J263">
        <v>8928.4</v>
      </c>
    </row>
    <row r="264" spans="1:10" x14ac:dyDescent="0.25">
      <c r="A264">
        <v>363</v>
      </c>
      <c r="B264" t="s">
        <v>30</v>
      </c>
      <c r="C264" t="s">
        <v>11</v>
      </c>
      <c r="D264" t="s">
        <v>22</v>
      </c>
      <c r="E264" t="s">
        <v>23</v>
      </c>
      <c r="F264">
        <v>6</v>
      </c>
      <c r="G264">
        <v>33284</v>
      </c>
      <c r="H264" s="1">
        <v>45189</v>
      </c>
      <c r="I264">
        <v>199704</v>
      </c>
      <c r="J264">
        <v>6656.8</v>
      </c>
    </row>
    <row r="265" spans="1:10" x14ac:dyDescent="0.25">
      <c r="A265">
        <v>364</v>
      </c>
      <c r="B265" t="s">
        <v>26</v>
      </c>
      <c r="C265" t="s">
        <v>24</v>
      </c>
      <c r="D265" t="s">
        <v>12</v>
      </c>
      <c r="E265" t="s">
        <v>20</v>
      </c>
      <c r="F265">
        <v>9</v>
      </c>
      <c r="G265">
        <v>18602</v>
      </c>
      <c r="H265" s="1">
        <v>45190</v>
      </c>
      <c r="I265">
        <v>167418</v>
      </c>
      <c r="J265">
        <v>3720.4</v>
      </c>
    </row>
    <row r="266" spans="1:10" x14ac:dyDescent="0.25">
      <c r="A266">
        <v>365</v>
      </c>
      <c r="B266" t="s">
        <v>35</v>
      </c>
      <c r="C266" t="s">
        <v>24</v>
      </c>
      <c r="D266" t="s">
        <v>12</v>
      </c>
      <c r="E266" t="s">
        <v>28</v>
      </c>
      <c r="F266">
        <v>2</v>
      </c>
      <c r="G266">
        <v>38784</v>
      </c>
      <c r="H266" s="1">
        <v>45191</v>
      </c>
      <c r="I266">
        <v>77568</v>
      </c>
      <c r="J266">
        <v>7756.8</v>
      </c>
    </row>
    <row r="267" spans="1:10" x14ac:dyDescent="0.25">
      <c r="A267">
        <v>366</v>
      </c>
      <c r="B267" t="s">
        <v>14</v>
      </c>
      <c r="C267" t="s">
        <v>24</v>
      </c>
      <c r="D267" t="s">
        <v>22</v>
      </c>
      <c r="E267" t="s">
        <v>13</v>
      </c>
      <c r="F267">
        <v>5</v>
      </c>
      <c r="G267">
        <v>24265</v>
      </c>
      <c r="H267" s="1">
        <v>45192</v>
      </c>
      <c r="I267">
        <v>121325</v>
      </c>
      <c r="J267">
        <v>4853</v>
      </c>
    </row>
    <row r="268" spans="1:10" x14ac:dyDescent="0.25">
      <c r="A268">
        <v>367</v>
      </c>
      <c r="B268" t="s">
        <v>34</v>
      </c>
      <c r="C268" t="s">
        <v>24</v>
      </c>
      <c r="D268" t="s">
        <v>22</v>
      </c>
      <c r="E268" t="s">
        <v>17</v>
      </c>
      <c r="F268">
        <v>3</v>
      </c>
      <c r="G268">
        <v>26931</v>
      </c>
      <c r="H268" s="1">
        <v>45193</v>
      </c>
      <c r="I268">
        <v>80793</v>
      </c>
      <c r="J268">
        <v>5386.2</v>
      </c>
    </row>
    <row r="269" spans="1:10" x14ac:dyDescent="0.25">
      <c r="A269">
        <v>368</v>
      </c>
      <c r="B269" t="s">
        <v>14</v>
      </c>
      <c r="C269" t="s">
        <v>24</v>
      </c>
      <c r="D269" t="s">
        <v>19</v>
      </c>
      <c r="E269" t="s">
        <v>17</v>
      </c>
      <c r="F269">
        <v>4</v>
      </c>
      <c r="G269">
        <v>29841</v>
      </c>
      <c r="H269" s="1">
        <v>45194</v>
      </c>
      <c r="I269">
        <v>119364</v>
      </c>
      <c r="J269">
        <v>5968.2</v>
      </c>
    </row>
    <row r="270" spans="1:10" x14ac:dyDescent="0.25">
      <c r="A270">
        <v>369</v>
      </c>
      <c r="B270" t="s">
        <v>34</v>
      </c>
      <c r="C270" t="s">
        <v>27</v>
      </c>
      <c r="D270" t="s">
        <v>12</v>
      </c>
      <c r="E270" t="s">
        <v>29</v>
      </c>
      <c r="F270">
        <v>6</v>
      </c>
      <c r="G270">
        <v>30192</v>
      </c>
      <c r="H270" s="1">
        <v>45195</v>
      </c>
      <c r="I270">
        <v>181152</v>
      </c>
      <c r="J270">
        <v>6038.4</v>
      </c>
    </row>
    <row r="271" spans="1:10" x14ac:dyDescent="0.25">
      <c r="A271">
        <v>370</v>
      </c>
      <c r="B271" t="s">
        <v>21</v>
      </c>
      <c r="C271" t="s">
        <v>11</v>
      </c>
      <c r="D271" t="s">
        <v>16</v>
      </c>
      <c r="E271" t="s">
        <v>17</v>
      </c>
      <c r="F271">
        <v>8</v>
      </c>
      <c r="G271">
        <v>47542</v>
      </c>
      <c r="H271" s="1">
        <v>45196</v>
      </c>
      <c r="I271">
        <v>380336</v>
      </c>
      <c r="J271">
        <v>9508.4</v>
      </c>
    </row>
    <row r="272" spans="1:10" x14ac:dyDescent="0.25">
      <c r="A272">
        <v>371</v>
      </c>
      <c r="B272" t="s">
        <v>14</v>
      </c>
      <c r="C272" t="s">
        <v>27</v>
      </c>
      <c r="D272" t="s">
        <v>19</v>
      </c>
      <c r="E272" t="s">
        <v>20</v>
      </c>
      <c r="F272">
        <v>1</v>
      </c>
      <c r="G272">
        <v>43520</v>
      </c>
      <c r="H272" s="1">
        <v>45197</v>
      </c>
      <c r="I272">
        <v>43520</v>
      </c>
      <c r="J272">
        <v>8704</v>
      </c>
    </row>
    <row r="273" spans="1:10" x14ac:dyDescent="0.25">
      <c r="A273">
        <v>372</v>
      </c>
      <c r="B273" t="s">
        <v>18</v>
      </c>
      <c r="C273" t="s">
        <v>15</v>
      </c>
      <c r="D273" t="s">
        <v>22</v>
      </c>
      <c r="E273" t="s">
        <v>28</v>
      </c>
      <c r="F273">
        <v>8</v>
      </c>
      <c r="G273">
        <v>16585</v>
      </c>
      <c r="H273" s="1">
        <v>45198</v>
      </c>
      <c r="I273">
        <v>132680</v>
      </c>
      <c r="J273">
        <v>3317</v>
      </c>
    </row>
    <row r="274" spans="1:10" x14ac:dyDescent="0.25">
      <c r="A274">
        <v>373</v>
      </c>
      <c r="B274" t="s">
        <v>18</v>
      </c>
      <c r="C274" t="s">
        <v>24</v>
      </c>
      <c r="D274" t="s">
        <v>22</v>
      </c>
      <c r="E274" t="s">
        <v>28</v>
      </c>
      <c r="F274">
        <v>7</v>
      </c>
      <c r="G274">
        <v>26559</v>
      </c>
      <c r="H274" s="1">
        <v>45199</v>
      </c>
      <c r="I274">
        <v>185913</v>
      </c>
      <c r="J274">
        <v>5311.8</v>
      </c>
    </row>
    <row r="275" spans="1:10" x14ac:dyDescent="0.25">
      <c r="A275">
        <v>374</v>
      </c>
      <c r="B275" t="s">
        <v>10</v>
      </c>
      <c r="C275" t="s">
        <v>11</v>
      </c>
      <c r="D275" t="s">
        <v>12</v>
      </c>
      <c r="E275" t="s">
        <v>31</v>
      </c>
      <c r="F275">
        <v>1</v>
      </c>
      <c r="G275">
        <v>41059</v>
      </c>
      <c r="H275" s="1">
        <v>45200</v>
      </c>
      <c r="I275">
        <v>41059</v>
      </c>
      <c r="J275">
        <v>8211.7999999999993</v>
      </c>
    </row>
    <row r="276" spans="1:10" x14ac:dyDescent="0.25">
      <c r="A276">
        <v>375</v>
      </c>
      <c r="B276" t="s">
        <v>26</v>
      </c>
      <c r="C276" t="s">
        <v>24</v>
      </c>
      <c r="D276" t="s">
        <v>22</v>
      </c>
      <c r="E276" t="s">
        <v>28</v>
      </c>
      <c r="F276">
        <v>2</v>
      </c>
      <c r="G276">
        <v>34742</v>
      </c>
      <c r="H276" s="1">
        <v>45201</v>
      </c>
      <c r="I276">
        <v>69484</v>
      </c>
      <c r="J276">
        <v>6948.4</v>
      </c>
    </row>
    <row r="277" spans="1:10" x14ac:dyDescent="0.25">
      <c r="A277">
        <v>376</v>
      </c>
      <c r="B277" t="s">
        <v>34</v>
      </c>
      <c r="C277" t="s">
        <v>11</v>
      </c>
      <c r="D277" t="s">
        <v>16</v>
      </c>
      <c r="E277" t="s">
        <v>23</v>
      </c>
      <c r="F277">
        <v>3</v>
      </c>
      <c r="G277">
        <v>5133</v>
      </c>
      <c r="H277" s="1">
        <v>45202</v>
      </c>
      <c r="I277">
        <v>15399</v>
      </c>
      <c r="J277">
        <v>1026.5999999999999</v>
      </c>
    </row>
    <row r="278" spans="1:10" x14ac:dyDescent="0.25">
      <c r="A278">
        <v>377</v>
      </c>
      <c r="B278" t="s">
        <v>34</v>
      </c>
      <c r="C278" t="s">
        <v>27</v>
      </c>
      <c r="D278" t="s">
        <v>12</v>
      </c>
      <c r="E278" t="s">
        <v>28</v>
      </c>
      <c r="F278">
        <v>1</v>
      </c>
      <c r="G278">
        <v>15663</v>
      </c>
      <c r="H278" s="1">
        <v>45203</v>
      </c>
      <c r="I278">
        <v>15663</v>
      </c>
      <c r="J278">
        <v>3132.6</v>
      </c>
    </row>
    <row r="279" spans="1:10" x14ac:dyDescent="0.25">
      <c r="A279">
        <v>378</v>
      </c>
      <c r="B279" t="s">
        <v>26</v>
      </c>
      <c r="C279" t="s">
        <v>11</v>
      </c>
      <c r="D279" t="s">
        <v>22</v>
      </c>
      <c r="E279" t="s">
        <v>29</v>
      </c>
      <c r="F279">
        <v>9</v>
      </c>
      <c r="G279">
        <v>22754</v>
      </c>
      <c r="H279" s="1">
        <v>45204</v>
      </c>
      <c r="I279">
        <v>204786</v>
      </c>
      <c r="J279">
        <v>4550.8</v>
      </c>
    </row>
    <row r="280" spans="1:10" x14ac:dyDescent="0.25">
      <c r="A280">
        <v>379</v>
      </c>
      <c r="B280" t="s">
        <v>30</v>
      </c>
      <c r="C280" t="s">
        <v>15</v>
      </c>
      <c r="D280" t="s">
        <v>12</v>
      </c>
      <c r="E280" t="s">
        <v>28</v>
      </c>
      <c r="F280">
        <v>8</v>
      </c>
      <c r="G280">
        <v>4972</v>
      </c>
      <c r="H280" s="1">
        <v>45205</v>
      </c>
      <c r="I280">
        <v>39776</v>
      </c>
      <c r="J280">
        <v>994.4</v>
      </c>
    </row>
    <row r="281" spans="1:10" x14ac:dyDescent="0.25">
      <c r="A281">
        <v>380</v>
      </c>
      <c r="B281" t="s">
        <v>10</v>
      </c>
      <c r="C281" t="s">
        <v>15</v>
      </c>
      <c r="D281" t="s">
        <v>22</v>
      </c>
      <c r="E281" t="s">
        <v>31</v>
      </c>
      <c r="F281">
        <v>2</v>
      </c>
      <c r="G281">
        <v>6295</v>
      </c>
      <c r="H281" s="1">
        <v>45206</v>
      </c>
      <c r="I281">
        <v>12590</v>
      </c>
      <c r="J281">
        <v>1259</v>
      </c>
    </row>
    <row r="282" spans="1:10" x14ac:dyDescent="0.25">
      <c r="A282">
        <v>381</v>
      </c>
      <c r="B282" t="s">
        <v>30</v>
      </c>
      <c r="C282" t="s">
        <v>11</v>
      </c>
      <c r="D282" t="s">
        <v>22</v>
      </c>
      <c r="E282" t="s">
        <v>13</v>
      </c>
      <c r="F282">
        <v>9</v>
      </c>
      <c r="G282">
        <v>47681</v>
      </c>
      <c r="H282" s="1">
        <v>45207</v>
      </c>
      <c r="I282">
        <v>429129</v>
      </c>
      <c r="J282">
        <v>9536.2000000000007</v>
      </c>
    </row>
    <row r="283" spans="1:10" x14ac:dyDescent="0.25">
      <c r="A283">
        <v>382</v>
      </c>
      <c r="B283" t="s">
        <v>30</v>
      </c>
      <c r="C283" t="s">
        <v>11</v>
      </c>
      <c r="D283" t="s">
        <v>22</v>
      </c>
      <c r="E283" t="s">
        <v>20</v>
      </c>
      <c r="F283">
        <v>7</v>
      </c>
      <c r="G283">
        <v>42873</v>
      </c>
      <c r="H283" s="1">
        <v>45208</v>
      </c>
      <c r="I283">
        <v>300111</v>
      </c>
      <c r="J283">
        <v>8574.6</v>
      </c>
    </row>
    <row r="284" spans="1:10" x14ac:dyDescent="0.25">
      <c r="A284">
        <v>383</v>
      </c>
      <c r="B284" t="s">
        <v>30</v>
      </c>
      <c r="C284" t="s">
        <v>11</v>
      </c>
      <c r="D284" t="s">
        <v>16</v>
      </c>
      <c r="E284" t="s">
        <v>29</v>
      </c>
      <c r="F284">
        <v>9</v>
      </c>
      <c r="G284">
        <v>30125</v>
      </c>
      <c r="H284" s="1">
        <v>45209</v>
      </c>
      <c r="I284">
        <v>271125</v>
      </c>
      <c r="J284">
        <v>6025</v>
      </c>
    </row>
    <row r="285" spans="1:10" x14ac:dyDescent="0.25">
      <c r="A285">
        <v>384</v>
      </c>
      <c r="B285" t="s">
        <v>26</v>
      </c>
      <c r="C285" t="s">
        <v>11</v>
      </c>
      <c r="D285" t="s">
        <v>16</v>
      </c>
      <c r="E285" t="s">
        <v>23</v>
      </c>
      <c r="F285">
        <v>6</v>
      </c>
      <c r="G285">
        <v>41996</v>
      </c>
      <c r="H285" s="1">
        <v>45210</v>
      </c>
      <c r="I285">
        <v>251976</v>
      </c>
      <c r="J285">
        <v>8399.2000000000007</v>
      </c>
    </row>
    <row r="286" spans="1:10" x14ac:dyDescent="0.25">
      <c r="A286">
        <v>385</v>
      </c>
      <c r="B286" t="s">
        <v>30</v>
      </c>
      <c r="C286" t="s">
        <v>15</v>
      </c>
      <c r="D286" t="s">
        <v>12</v>
      </c>
      <c r="E286" t="s">
        <v>13</v>
      </c>
      <c r="F286">
        <v>6</v>
      </c>
      <c r="G286">
        <v>10903</v>
      </c>
      <c r="H286" s="1">
        <v>45211</v>
      </c>
      <c r="I286">
        <v>65418</v>
      </c>
      <c r="J286">
        <v>2180.6</v>
      </c>
    </row>
    <row r="287" spans="1:10" x14ac:dyDescent="0.25">
      <c r="A287">
        <v>386</v>
      </c>
      <c r="B287" t="s">
        <v>18</v>
      </c>
      <c r="C287" t="s">
        <v>24</v>
      </c>
      <c r="D287" t="s">
        <v>22</v>
      </c>
      <c r="E287" t="s">
        <v>29</v>
      </c>
      <c r="F287">
        <v>4</v>
      </c>
      <c r="G287">
        <v>4020</v>
      </c>
      <c r="H287" s="1">
        <v>45212</v>
      </c>
      <c r="I287">
        <v>16080</v>
      </c>
      <c r="J287">
        <v>804</v>
      </c>
    </row>
    <row r="288" spans="1:10" x14ac:dyDescent="0.25">
      <c r="A288">
        <v>387</v>
      </c>
      <c r="B288" t="s">
        <v>32</v>
      </c>
      <c r="C288" t="s">
        <v>11</v>
      </c>
      <c r="D288" t="s">
        <v>22</v>
      </c>
      <c r="E288" t="s">
        <v>33</v>
      </c>
      <c r="F288">
        <v>2</v>
      </c>
      <c r="G288">
        <v>42755</v>
      </c>
      <c r="H288" s="1">
        <v>45213</v>
      </c>
      <c r="I288">
        <v>85510</v>
      </c>
      <c r="J288">
        <v>8551</v>
      </c>
    </row>
    <row r="289" spans="1:10" x14ac:dyDescent="0.25">
      <c r="A289">
        <v>388</v>
      </c>
      <c r="B289" t="s">
        <v>21</v>
      </c>
      <c r="C289" t="s">
        <v>11</v>
      </c>
      <c r="D289" t="s">
        <v>16</v>
      </c>
      <c r="E289" t="s">
        <v>17</v>
      </c>
      <c r="F289">
        <v>7</v>
      </c>
      <c r="G289">
        <v>21420</v>
      </c>
      <c r="H289" s="1">
        <v>45214</v>
      </c>
      <c r="I289">
        <v>149940</v>
      </c>
      <c r="J289">
        <v>4284</v>
      </c>
    </row>
    <row r="290" spans="1:10" x14ac:dyDescent="0.25">
      <c r="A290">
        <v>389</v>
      </c>
      <c r="B290" t="s">
        <v>34</v>
      </c>
      <c r="C290" t="s">
        <v>15</v>
      </c>
      <c r="D290" t="s">
        <v>22</v>
      </c>
      <c r="E290" t="s">
        <v>33</v>
      </c>
      <c r="F290">
        <v>5</v>
      </c>
      <c r="G290">
        <v>22452</v>
      </c>
      <c r="H290" s="1">
        <v>45215</v>
      </c>
      <c r="I290">
        <v>112260</v>
      </c>
      <c r="J290">
        <v>4490.3999999999996</v>
      </c>
    </row>
    <row r="291" spans="1:10" x14ac:dyDescent="0.25">
      <c r="A291">
        <v>390</v>
      </c>
      <c r="B291" t="s">
        <v>34</v>
      </c>
      <c r="C291" t="s">
        <v>15</v>
      </c>
      <c r="D291" t="s">
        <v>16</v>
      </c>
      <c r="E291" t="s">
        <v>28</v>
      </c>
      <c r="F291">
        <v>6</v>
      </c>
      <c r="G291">
        <v>46648</v>
      </c>
      <c r="H291" s="1">
        <v>45216</v>
      </c>
      <c r="I291">
        <v>279888</v>
      </c>
      <c r="J291">
        <v>9329.6</v>
      </c>
    </row>
    <row r="292" spans="1:10" x14ac:dyDescent="0.25">
      <c r="A292">
        <v>391</v>
      </c>
      <c r="B292" t="s">
        <v>21</v>
      </c>
      <c r="C292" t="s">
        <v>27</v>
      </c>
      <c r="D292" t="s">
        <v>22</v>
      </c>
      <c r="E292" t="s">
        <v>13</v>
      </c>
      <c r="F292">
        <v>2</v>
      </c>
      <c r="G292">
        <v>39001</v>
      </c>
      <c r="H292" s="1">
        <v>45217</v>
      </c>
      <c r="I292">
        <v>78002</v>
      </c>
      <c r="J292">
        <v>7800.2</v>
      </c>
    </row>
    <row r="293" spans="1:10" x14ac:dyDescent="0.25">
      <c r="A293">
        <v>392</v>
      </c>
      <c r="B293" t="s">
        <v>26</v>
      </c>
      <c r="C293" t="s">
        <v>11</v>
      </c>
      <c r="D293" t="s">
        <v>12</v>
      </c>
      <c r="E293" t="s">
        <v>28</v>
      </c>
      <c r="F293">
        <v>5</v>
      </c>
      <c r="G293">
        <v>10516</v>
      </c>
      <c r="H293" s="1">
        <v>45218</v>
      </c>
      <c r="I293">
        <v>52580</v>
      </c>
      <c r="J293">
        <v>2103.1999999999998</v>
      </c>
    </row>
    <row r="294" spans="1:10" x14ac:dyDescent="0.25">
      <c r="A294">
        <v>393</v>
      </c>
      <c r="B294" t="s">
        <v>14</v>
      </c>
      <c r="C294" t="s">
        <v>27</v>
      </c>
      <c r="D294" t="s">
        <v>22</v>
      </c>
      <c r="E294" t="s">
        <v>17</v>
      </c>
      <c r="F294">
        <v>4</v>
      </c>
      <c r="G294">
        <v>48327</v>
      </c>
      <c r="H294" s="1">
        <v>45219</v>
      </c>
      <c r="I294">
        <v>193308</v>
      </c>
      <c r="J294">
        <v>9665.4</v>
      </c>
    </row>
    <row r="295" spans="1:10" x14ac:dyDescent="0.25">
      <c r="A295">
        <v>394</v>
      </c>
      <c r="B295" t="s">
        <v>26</v>
      </c>
      <c r="C295" t="s">
        <v>15</v>
      </c>
      <c r="D295" t="s">
        <v>22</v>
      </c>
      <c r="E295" t="s">
        <v>29</v>
      </c>
      <c r="F295">
        <v>9</v>
      </c>
      <c r="G295">
        <v>3396</v>
      </c>
      <c r="H295" s="1">
        <v>45220</v>
      </c>
      <c r="I295">
        <v>30564</v>
      </c>
      <c r="J295">
        <v>679.2</v>
      </c>
    </row>
    <row r="296" spans="1:10" x14ac:dyDescent="0.25">
      <c r="A296">
        <v>395</v>
      </c>
      <c r="B296" t="s">
        <v>34</v>
      </c>
      <c r="C296" t="s">
        <v>15</v>
      </c>
      <c r="D296" t="s">
        <v>19</v>
      </c>
      <c r="E296" t="s">
        <v>17</v>
      </c>
      <c r="F296">
        <v>6</v>
      </c>
      <c r="G296">
        <v>19546</v>
      </c>
      <c r="H296" s="1">
        <v>45221</v>
      </c>
      <c r="I296">
        <v>117276</v>
      </c>
      <c r="J296">
        <v>3909.2</v>
      </c>
    </row>
    <row r="297" spans="1:10" x14ac:dyDescent="0.25">
      <c r="A297">
        <v>396</v>
      </c>
      <c r="B297" t="s">
        <v>34</v>
      </c>
      <c r="C297" t="s">
        <v>24</v>
      </c>
      <c r="D297" t="s">
        <v>16</v>
      </c>
      <c r="E297" t="s">
        <v>31</v>
      </c>
      <c r="F297">
        <v>2</v>
      </c>
      <c r="G297">
        <v>20129</v>
      </c>
      <c r="H297" s="1">
        <v>45222</v>
      </c>
      <c r="I297">
        <v>40258</v>
      </c>
      <c r="J297">
        <v>4025.8</v>
      </c>
    </row>
    <row r="298" spans="1:10" x14ac:dyDescent="0.25">
      <c r="A298">
        <v>397</v>
      </c>
      <c r="B298" t="s">
        <v>21</v>
      </c>
      <c r="C298" t="s">
        <v>11</v>
      </c>
      <c r="D298" t="s">
        <v>22</v>
      </c>
      <c r="E298" t="s">
        <v>17</v>
      </c>
      <c r="F298">
        <v>1</v>
      </c>
      <c r="G298">
        <v>2591</v>
      </c>
      <c r="H298" s="1">
        <v>45223</v>
      </c>
      <c r="I298">
        <v>2591</v>
      </c>
      <c r="J298">
        <v>518.20000000000005</v>
      </c>
    </row>
    <row r="299" spans="1:10" x14ac:dyDescent="0.25">
      <c r="A299">
        <v>398</v>
      </c>
      <c r="B299" t="s">
        <v>30</v>
      </c>
      <c r="C299" t="s">
        <v>27</v>
      </c>
      <c r="D299" t="s">
        <v>22</v>
      </c>
      <c r="E299" t="s">
        <v>31</v>
      </c>
      <c r="F299">
        <v>5</v>
      </c>
      <c r="G299">
        <v>12303</v>
      </c>
      <c r="H299" s="1">
        <v>45224</v>
      </c>
      <c r="I299">
        <v>61515</v>
      </c>
      <c r="J299">
        <v>2460.6</v>
      </c>
    </row>
    <row r="300" spans="1:10" x14ac:dyDescent="0.25">
      <c r="A300">
        <v>399</v>
      </c>
      <c r="B300" t="s">
        <v>26</v>
      </c>
      <c r="C300" t="s">
        <v>15</v>
      </c>
      <c r="D300" t="s">
        <v>19</v>
      </c>
      <c r="E300" t="s">
        <v>17</v>
      </c>
      <c r="F300">
        <v>9</v>
      </c>
      <c r="G300">
        <v>31561</v>
      </c>
      <c r="H300" s="1">
        <v>45225</v>
      </c>
      <c r="I300">
        <v>284049</v>
      </c>
      <c r="J300">
        <v>6312.2</v>
      </c>
    </row>
    <row r="301" spans="1:10" x14ac:dyDescent="0.25">
      <c r="A301">
        <v>400</v>
      </c>
      <c r="B301" t="s">
        <v>35</v>
      </c>
      <c r="C301" t="s">
        <v>15</v>
      </c>
      <c r="D301" t="s">
        <v>19</v>
      </c>
      <c r="E301" t="s">
        <v>20</v>
      </c>
      <c r="F301">
        <v>6</v>
      </c>
      <c r="G301">
        <v>7183</v>
      </c>
      <c r="H301" s="1">
        <v>45226</v>
      </c>
      <c r="I301">
        <v>43098</v>
      </c>
      <c r="J301">
        <v>1436.6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F656-5142-4261-AD2B-E1C859E335C7}">
  <dimension ref="A1"/>
  <sheetViews>
    <sheetView showGridLines="0" zoomScale="150" zoomScaleNormal="150" workbookViewId="0">
      <selection activeCell="C25" sqref="C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68528-F5B7-458E-AE3D-929FEA115F7F}">
  <dimension ref="A3:M23"/>
  <sheetViews>
    <sheetView workbookViewId="0">
      <selection activeCell="K5" sqref="K5"/>
    </sheetView>
  </sheetViews>
  <sheetFormatPr defaultColWidth="21.140625" defaultRowHeight="15" x14ac:dyDescent="0.25"/>
  <cols>
    <col min="1" max="1" width="13.140625" bestFit="1" customWidth="1"/>
    <col min="2" max="2" width="17.28515625" bestFit="1" customWidth="1"/>
    <col min="3" max="4" width="13.140625" bestFit="1" customWidth="1"/>
    <col min="5" max="5" width="17.28515625" bestFit="1" customWidth="1"/>
    <col min="6" max="6" width="12.5703125" bestFit="1" customWidth="1"/>
    <col min="7" max="7" width="13.140625" bestFit="1" customWidth="1"/>
    <col min="8" max="8" width="15.42578125" bestFit="1" customWidth="1"/>
    <col min="9" max="9" width="13.140625" bestFit="1" customWidth="1"/>
    <col min="10" max="10" width="17" bestFit="1" customWidth="1"/>
    <col min="11" max="11" width="16.28515625" bestFit="1" customWidth="1"/>
    <col min="12" max="12" width="13.140625" bestFit="1" customWidth="1"/>
    <col min="13" max="13" width="16.42578125" bestFit="1" customWidth="1"/>
    <col min="14" max="74" width="16.28515625" bestFit="1" customWidth="1"/>
    <col min="75" max="75" width="11.28515625" bestFit="1" customWidth="1"/>
    <col min="257" max="257" width="17.28515625" bestFit="1" customWidth="1"/>
    <col min="258" max="258" width="23.28515625" customWidth="1"/>
    <col min="259" max="259" width="12.28515625" bestFit="1" customWidth="1"/>
    <col min="260" max="260" width="16.140625" bestFit="1" customWidth="1"/>
    <col min="261" max="261" width="12.28515625" bestFit="1" customWidth="1"/>
    <col min="262" max="262" width="11.7109375" bestFit="1" customWidth="1"/>
    <col min="263" max="263" width="12.28515625" bestFit="1" customWidth="1"/>
    <col min="264" max="265" width="14.5703125" bestFit="1" customWidth="1"/>
    <col min="513" max="513" width="17.28515625" bestFit="1" customWidth="1"/>
    <col min="514" max="514" width="23.28515625" customWidth="1"/>
    <col min="515" max="515" width="12.28515625" bestFit="1" customWidth="1"/>
    <col min="516" max="516" width="16.140625" bestFit="1" customWidth="1"/>
    <col min="517" max="517" width="12.28515625" bestFit="1" customWidth="1"/>
    <col min="518" max="518" width="11.7109375" bestFit="1" customWidth="1"/>
    <col min="519" max="519" width="12.28515625" bestFit="1" customWidth="1"/>
    <col min="520" max="521" width="14.5703125" bestFit="1" customWidth="1"/>
    <col min="769" max="769" width="17.28515625" bestFit="1" customWidth="1"/>
    <col min="770" max="770" width="23.28515625" customWidth="1"/>
    <col min="771" max="771" width="12.28515625" bestFit="1" customWidth="1"/>
    <col min="772" max="772" width="16.140625" bestFit="1" customWidth="1"/>
    <col min="773" max="773" width="12.28515625" bestFit="1" customWidth="1"/>
    <col min="774" max="774" width="11.7109375" bestFit="1" customWidth="1"/>
    <col min="775" max="775" width="12.28515625" bestFit="1" customWidth="1"/>
    <col min="776" max="777" width="14.5703125" bestFit="1" customWidth="1"/>
    <col min="1025" max="1025" width="17.28515625" bestFit="1" customWidth="1"/>
    <col min="1026" max="1026" width="23.28515625" customWidth="1"/>
    <col min="1027" max="1027" width="12.28515625" bestFit="1" customWidth="1"/>
    <col min="1028" max="1028" width="16.140625" bestFit="1" customWidth="1"/>
    <col min="1029" max="1029" width="12.28515625" bestFit="1" customWidth="1"/>
    <col min="1030" max="1030" width="11.7109375" bestFit="1" customWidth="1"/>
    <col min="1031" max="1031" width="12.28515625" bestFit="1" customWidth="1"/>
    <col min="1032" max="1033" width="14.5703125" bestFit="1" customWidth="1"/>
    <col min="1281" max="1281" width="17.28515625" bestFit="1" customWidth="1"/>
    <col min="1282" max="1282" width="23.28515625" customWidth="1"/>
    <col min="1283" max="1283" width="12.28515625" bestFit="1" customWidth="1"/>
    <col min="1284" max="1284" width="16.140625" bestFit="1" customWidth="1"/>
    <col min="1285" max="1285" width="12.28515625" bestFit="1" customWidth="1"/>
    <col min="1286" max="1286" width="11.7109375" bestFit="1" customWidth="1"/>
    <col min="1287" max="1287" width="12.28515625" bestFit="1" customWidth="1"/>
    <col min="1288" max="1289" width="14.5703125" bestFit="1" customWidth="1"/>
    <col min="1537" max="1537" width="17.28515625" bestFit="1" customWidth="1"/>
    <col min="1538" max="1538" width="23.28515625" customWidth="1"/>
    <col min="1539" max="1539" width="12.28515625" bestFit="1" customWidth="1"/>
    <col min="1540" max="1540" width="16.140625" bestFit="1" customWidth="1"/>
    <col min="1541" max="1541" width="12.28515625" bestFit="1" customWidth="1"/>
    <col min="1542" max="1542" width="11.7109375" bestFit="1" customWidth="1"/>
    <col min="1543" max="1543" width="12.28515625" bestFit="1" customWidth="1"/>
    <col min="1544" max="1545" width="14.5703125" bestFit="1" customWidth="1"/>
    <col min="1793" max="1793" width="17.28515625" bestFit="1" customWidth="1"/>
    <col min="1794" max="1794" width="23.28515625" customWidth="1"/>
    <col min="1795" max="1795" width="12.28515625" bestFit="1" customWidth="1"/>
    <col min="1796" max="1796" width="16.140625" bestFit="1" customWidth="1"/>
    <col min="1797" max="1797" width="12.28515625" bestFit="1" customWidth="1"/>
    <col min="1798" max="1798" width="11.7109375" bestFit="1" customWidth="1"/>
    <col min="1799" max="1799" width="12.28515625" bestFit="1" customWidth="1"/>
    <col min="1800" max="1801" width="14.5703125" bestFit="1" customWidth="1"/>
    <col min="2049" max="2049" width="17.28515625" bestFit="1" customWidth="1"/>
    <col min="2050" max="2050" width="23.28515625" customWidth="1"/>
    <col min="2051" max="2051" width="12.28515625" bestFit="1" customWidth="1"/>
    <col min="2052" max="2052" width="16.140625" bestFit="1" customWidth="1"/>
    <col min="2053" max="2053" width="12.28515625" bestFit="1" customWidth="1"/>
    <col min="2054" max="2054" width="11.7109375" bestFit="1" customWidth="1"/>
    <col min="2055" max="2055" width="12.28515625" bestFit="1" customWidth="1"/>
    <col min="2056" max="2057" width="14.5703125" bestFit="1" customWidth="1"/>
    <col min="2305" max="2305" width="17.28515625" bestFit="1" customWidth="1"/>
    <col min="2306" max="2306" width="23.28515625" customWidth="1"/>
    <col min="2307" max="2307" width="12.28515625" bestFit="1" customWidth="1"/>
    <col min="2308" max="2308" width="16.140625" bestFit="1" customWidth="1"/>
    <col min="2309" max="2309" width="12.28515625" bestFit="1" customWidth="1"/>
    <col min="2310" max="2310" width="11.7109375" bestFit="1" customWidth="1"/>
    <col min="2311" max="2311" width="12.28515625" bestFit="1" customWidth="1"/>
    <col min="2312" max="2313" width="14.5703125" bestFit="1" customWidth="1"/>
    <col min="2561" max="2561" width="17.28515625" bestFit="1" customWidth="1"/>
    <col min="2562" max="2562" width="23.28515625" customWidth="1"/>
    <col min="2563" max="2563" width="12.28515625" bestFit="1" customWidth="1"/>
    <col min="2564" max="2564" width="16.140625" bestFit="1" customWidth="1"/>
    <col min="2565" max="2565" width="12.28515625" bestFit="1" customWidth="1"/>
    <col min="2566" max="2566" width="11.7109375" bestFit="1" customWidth="1"/>
    <col min="2567" max="2567" width="12.28515625" bestFit="1" customWidth="1"/>
    <col min="2568" max="2569" width="14.5703125" bestFit="1" customWidth="1"/>
    <col min="2817" max="2817" width="17.28515625" bestFit="1" customWidth="1"/>
    <col min="2818" max="2818" width="23.28515625" customWidth="1"/>
    <col min="2819" max="2819" width="12.28515625" bestFit="1" customWidth="1"/>
    <col min="2820" max="2820" width="16.140625" bestFit="1" customWidth="1"/>
    <col min="2821" max="2821" width="12.28515625" bestFit="1" customWidth="1"/>
    <col min="2822" max="2822" width="11.7109375" bestFit="1" customWidth="1"/>
    <col min="2823" max="2823" width="12.28515625" bestFit="1" customWidth="1"/>
    <col min="2824" max="2825" width="14.5703125" bestFit="1" customWidth="1"/>
    <col min="3073" max="3073" width="17.28515625" bestFit="1" customWidth="1"/>
    <col min="3074" max="3074" width="23.28515625" customWidth="1"/>
    <col min="3075" max="3075" width="12.28515625" bestFit="1" customWidth="1"/>
    <col min="3076" max="3076" width="16.140625" bestFit="1" customWidth="1"/>
    <col min="3077" max="3077" width="12.28515625" bestFit="1" customWidth="1"/>
    <col min="3078" max="3078" width="11.7109375" bestFit="1" customWidth="1"/>
    <col min="3079" max="3079" width="12.28515625" bestFit="1" customWidth="1"/>
    <col min="3080" max="3081" width="14.5703125" bestFit="1" customWidth="1"/>
    <col min="3329" max="3329" width="17.28515625" bestFit="1" customWidth="1"/>
    <col min="3330" max="3330" width="23.28515625" customWidth="1"/>
    <col min="3331" max="3331" width="12.28515625" bestFit="1" customWidth="1"/>
    <col min="3332" max="3332" width="16.140625" bestFit="1" customWidth="1"/>
    <col min="3333" max="3333" width="12.28515625" bestFit="1" customWidth="1"/>
    <col min="3334" max="3334" width="11.7109375" bestFit="1" customWidth="1"/>
    <col min="3335" max="3335" width="12.28515625" bestFit="1" customWidth="1"/>
    <col min="3336" max="3337" width="14.5703125" bestFit="1" customWidth="1"/>
    <col min="3585" max="3585" width="17.28515625" bestFit="1" customWidth="1"/>
    <col min="3586" max="3586" width="23.28515625" customWidth="1"/>
    <col min="3587" max="3587" width="12.28515625" bestFit="1" customWidth="1"/>
    <col min="3588" max="3588" width="16.140625" bestFit="1" customWidth="1"/>
    <col min="3589" max="3589" width="12.28515625" bestFit="1" customWidth="1"/>
    <col min="3590" max="3590" width="11.7109375" bestFit="1" customWidth="1"/>
    <col min="3591" max="3591" width="12.28515625" bestFit="1" customWidth="1"/>
    <col min="3592" max="3593" width="14.5703125" bestFit="1" customWidth="1"/>
    <col min="3841" max="3841" width="17.28515625" bestFit="1" customWidth="1"/>
    <col min="3842" max="3842" width="23.28515625" customWidth="1"/>
    <col min="3843" max="3843" width="12.28515625" bestFit="1" customWidth="1"/>
    <col min="3844" max="3844" width="16.140625" bestFit="1" customWidth="1"/>
    <col min="3845" max="3845" width="12.28515625" bestFit="1" customWidth="1"/>
    <col min="3846" max="3846" width="11.7109375" bestFit="1" customWidth="1"/>
    <col min="3847" max="3847" width="12.28515625" bestFit="1" customWidth="1"/>
    <col min="3848" max="3849" width="14.5703125" bestFit="1" customWidth="1"/>
    <col min="4097" max="4097" width="17.28515625" bestFit="1" customWidth="1"/>
    <col min="4098" max="4098" width="23.28515625" customWidth="1"/>
    <col min="4099" max="4099" width="12.28515625" bestFit="1" customWidth="1"/>
    <col min="4100" max="4100" width="16.140625" bestFit="1" customWidth="1"/>
    <col min="4101" max="4101" width="12.28515625" bestFit="1" customWidth="1"/>
    <col min="4102" max="4102" width="11.7109375" bestFit="1" customWidth="1"/>
    <col min="4103" max="4103" width="12.28515625" bestFit="1" customWidth="1"/>
    <col min="4104" max="4105" width="14.5703125" bestFit="1" customWidth="1"/>
    <col min="4353" max="4353" width="17.28515625" bestFit="1" customWidth="1"/>
    <col min="4354" max="4354" width="23.28515625" customWidth="1"/>
    <col min="4355" max="4355" width="12.28515625" bestFit="1" customWidth="1"/>
    <col min="4356" max="4356" width="16.140625" bestFit="1" customWidth="1"/>
    <col min="4357" max="4357" width="12.28515625" bestFit="1" customWidth="1"/>
    <col min="4358" max="4358" width="11.7109375" bestFit="1" customWidth="1"/>
    <col min="4359" max="4359" width="12.28515625" bestFit="1" customWidth="1"/>
    <col min="4360" max="4361" width="14.5703125" bestFit="1" customWidth="1"/>
    <col min="4609" max="4609" width="17.28515625" bestFit="1" customWidth="1"/>
    <col min="4610" max="4610" width="23.28515625" customWidth="1"/>
    <col min="4611" max="4611" width="12.28515625" bestFit="1" customWidth="1"/>
    <col min="4612" max="4612" width="16.140625" bestFit="1" customWidth="1"/>
    <col min="4613" max="4613" width="12.28515625" bestFit="1" customWidth="1"/>
    <col min="4614" max="4614" width="11.7109375" bestFit="1" customWidth="1"/>
    <col min="4615" max="4615" width="12.28515625" bestFit="1" customWidth="1"/>
    <col min="4616" max="4617" width="14.5703125" bestFit="1" customWidth="1"/>
    <col min="4865" max="4865" width="17.28515625" bestFit="1" customWidth="1"/>
    <col min="4866" max="4866" width="23.28515625" customWidth="1"/>
    <col min="4867" max="4867" width="12.28515625" bestFit="1" customWidth="1"/>
    <col min="4868" max="4868" width="16.140625" bestFit="1" customWidth="1"/>
    <col min="4869" max="4869" width="12.28515625" bestFit="1" customWidth="1"/>
    <col min="4870" max="4870" width="11.7109375" bestFit="1" customWidth="1"/>
    <col min="4871" max="4871" width="12.28515625" bestFit="1" customWidth="1"/>
    <col min="4872" max="4873" width="14.5703125" bestFit="1" customWidth="1"/>
    <col min="5121" max="5121" width="17.28515625" bestFit="1" customWidth="1"/>
    <col min="5122" max="5122" width="23.28515625" customWidth="1"/>
    <col min="5123" max="5123" width="12.28515625" bestFit="1" customWidth="1"/>
    <col min="5124" max="5124" width="16.140625" bestFit="1" customWidth="1"/>
    <col min="5125" max="5125" width="12.28515625" bestFit="1" customWidth="1"/>
    <col min="5126" max="5126" width="11.7109375" bestFit="1" customWidth="1"/>
    <col min="5127" max="5127" width="12.28515625" bestFit="1" customWidth="1"/>
    <col min="5128" max="5129" width="14.5703125" bestFit="1" customWidth="1"/>
    <col min="5377" max="5377" width="17.28515625" bestFit="1" customWidth="1"/>
    <col min="5378" max="5378" width="23.28515625" customWidth="1"/>
    <col min="5379" max="5379" width="12.28515625" bestFit="1" customWidth="1"/>
    <col min="5380" max="5380" width="16.140625" bestFit="1" customWidth="1"/>
    <col min="5381" max="5381" width="12.28515625" bestFit="1" customWidth="1"/>
    <col min="5382" max="5382" width="11.7109375" bestFit="1" customWidth="1"/>
    <col min="5383" max="5383" width="12.28515625" bestFit="1" customWidth="1"/>
    <col min="5384" max="5385" width="14.5703125" bestFit="1" customWidth="1"/>
    <col min="5633" max="5633" width="17.28515625" bestFit="1" customWidth="1"/>
    <col min="5634" max="5634" width="23.28515625" customWidth="1"/>
    <col min="5635" max="5635" width="12.28515625" bestFit="1" customWidth="1"/>
    <col min="5636" max="5636" width="16.140625" bestFit="1" customWidth="1"/>
    <col min="5637" max="5637" width="12.28515625" bestFit="1" customWidth="1"/>
    <col min="5638" max="5638" width="11.7109375" bestFit="1" customWidth="1"/>
    <col min="5639" max="5639" width="12.28515625" bestFit="1" customWidth="1"/>
    <col min="5640" max="5641" width="14.5703125" bestFit="1" customWidth="1"/>
    <col min="5889" max="5889" width="17.28515625" bestFit="1" customWidth="1"/>
    <col min="5890" max="5890" width="23.28515625" customWidth="1"/>
    <col min="5891" max="5891" width="12.28515625" bestFit="1" customWidth="1"/>
    <col min="5892" max="5892" width="16.140625" bestFit="1" customWidth="1"/>
    <col min="5893" max="5893" width="12.28515625" bestFit="1" customWidth="1"/>
    <col min="5894" max="5894" width="11.7109375" bestFit="1" customWidth="1"/>
    <col min="5895" max="5895" width="12.28515625" bestFit="1" customWidth="1"/>
    <col min="5896" max="5897" width="14.5703125" bestFit="1" customWidth="1"/>
    <col min="6145" max="6145" width="17.28515625" bestFit="1" customWidth="1"/>
    <col min="6146" max="6146" width="23.28515625" customWidth="1"/>
    <col min="6147" max="6147" width="12.28515625" bestFit="1" customWidth="1"/>
    <col min="6148" max="6148" width="16.140625" bestFit="1" customWidth="1"/>
    <col min="6149" max="6149" width="12.28515625" bestFit="1" customWidth="1"/>
    <col min="6150" max="6150" width="11.7109375" bestFit="1" customWidth="1"/>
    <col min="6151" max="6151" width="12.28515625" bestFit="1" customWidth="1"/>
    <col min="6152" max="6153" width="14.5703125" bestFit="1" customWidth="1"/>
    <col min="6401" max="6401" width="17.28515625" bestFit="1" customWidth="1"/>
    <col min="6402" max="6402" width="23.28515625" customWidth="1"/>
    <col min="6403" max="6403" width="12.28515625" bestFit="1" customWidth="1"/>
    <col min="6404" max="6404" width="16.140625" bestFit="1" customWidth="1"/>
    <col min="6405" max="6405" width="12.28515625" bestFit="1" customWidth="1"/>
    <col min="6406" max="6406" width="11.7109375" bestFit="1" customWidth="1"/>
    <col min="6407" max="6407" width="12.28515625" bestFit="1" customWidth="1"/>
    <col min="6408" max="6409" width="14.5703125" bestFit="1" customWidth="1"/>
    <col min="6657" max="6657" width="17.28515625" bestFit="1" customWidth="1"/>
    <col min="6658" max="6658" width="23.28515625" customWidth="1"/>
    <col min="6659" max="6659" width="12.28515625" bestFit="1" customWidth="1"/>
    <col min="6660" max="6660" width="16.140625" bestFit="1" customWidth="1"/>
    <col min="6661" max="6661" width="12.28515625" bestFit="1" customWidth="1"/>
    <col min="6662" max="6662" width="11.7109375" bestFit="1" customWidth="1"/>
    <col min="6663" max="6663" width="12.28515625" bestFit="1" customWidth="1"/>
    <col min="6664" max="6665" width="14.5703125" bestFit="1" customWidth="1"/>
    <col min="6913" max="6913" width="17.28515625" bestFit="1" customWidth="1"/>
    <col min="6914" max="6914" width="23.28515625" customWidth="1"/>
    <col min="6915" max="6915" width="12.28515625" bestFit="1" customWidth="1"/>
    <col min="6916" max="6916" width="16.140625" bestFit="1" customWidth="1"/>
    <col min="6917" max="6917" width="12.28515625" bestFit="1" customWidth="1"/>
    <col min="6918" max="6918" width="11.7109375" bestFit="1" customWidth="1"/>
    <col min="6919" max="6919" width="12.28515625" bestFit="1" customWidth="1"/>
    <col min="6920" max="6921" width="14.5703125" bestFit="1" customWidth="1"/>
    <col min="7169" max="7169" width="17.28515625" bestFit="1" customWidth="1"/>
    <col min="7170" max="7170" width="23.28515625" customWidth="1"/>
    <col min="7171" max="7171" width="12.28515625" bestFit="1" customWidth="1"/>
    <col min="7172" max="7172" width="16.140625" bestFit="1" customWidth="1"/>
    <col min="7173" max="7173" width="12.28515625" bestFit="1" customWidth="1"/>
    <col min="7174" max="7174" width="11.7109375" bestFit="1" customWidth="1"/>
    <col min="7175" max="7175" width="12.28515625" bestFit="1" customWidth="1"/>
    <col min="7176" max="7177" width="14.5703125" bestFit="1" customWidth="1"/>
    <col min="7425" max="7425" width="17.28515625" bestFit="1" customWidth="1"/>
    <col min="7426" max="7426" width="23.28515625" customWidth="1"/>
    <col min="7427" max="7427" width="12.28515625" bestFit="1" customWidth="1"/>
    <col min="7428" max="7428" width="16.140625" bestFit="1" customWidth="1"/>
    <col min="7429" max="7429" width="12.28515625" bestFit="1" customWidth="1"/>
    <col min="7430" max="7430" width="11.7109375" bestFit="1" customWidth="1"/>
    <col min="7431" max="7431" width="12.28515625" bestFit="1" customWidth="1"/>
    <col min="7432" max="7433" width="14.5703125" bestFit="1" customWidth="1"/>
    <col min="7681" max="7681" width="17.28515625" bestFit="1" customWidth="1"/>
    <col min="7682" max="7682" width="23.28515625" customWidth="1"/>
    <col min="7683" max="7683" width="12.28515625" bestFit="1" customWidth="1"/>
    <col min="7684" max="7684" width="16.140625" bestFit="1" customWidth="1"/>
    <col min="7685" max="7685" width="12.28515625" bestFit="1" customWidth="1"/>
    <col min="7686" max="7686" width="11.7109375" bestFit="1" customWidth="1"/>
    <col min="7687" max="7687" width="12.28515625" bestFit="1" customWidth="1"/>
    <col min="7688" max="7689" width="14.5703125" bestFit="1" customWidth="1"/>
    <col min="7937" max="7937" width="17.28515625" bestFit="1" customWidth="1"/>
    <col min="7938" max="7938" width="23.28515625" customWidth="1"/>
    <col min="7939" max="7939" width="12.28515625" bestFit="1" customWidth="1"/>
    <col min="7940" max="7940" width="16.140625" bestFit="1" customWidth="1"/>
    <col min="7941" max="7941" width="12.28515625" bestFit="1" customWidth="1"/>
    <col min="7942" max="7942" width="11.7109375" bestFit="1" customWidth="1"/>
    <col min="7943" max="7943" width="12.28515625" bestFit="1" customWidth="1"/>
    <col min="7944" max="7945" width="14.5703125" bestFit="1" customWidth="1"/>
    <col min="8193" max="8193" width="17.28515625" bestFit="1" customWidth="1"/>
    <col min="8194" max="8194" width="23.28515625" customWidth="1"/>
    <col min="8195" max="8195" width="12.28515625" bestFit="1" customWidth="1"/>
    <col min="8196" max="8196" width="16.140625" bestFit="1" customWidth="1"/>
    <col min="8197" max="8197" width="12.28515625" bestFit="1" customWidth="1"/>
    <col min="8198" max="8198" width="11.7109375" bestFit="1" customWidth="1"/>
    <col min="8199" max="8199" width="12.28515625" bestFit="1" customWidth="1"/>
    <col min="8200" max="8201" width="14.5703125" bestFit="1" customWidth="1"/>
    <col min="8449" max="8449" width="17.28515625" bestFit="1" customWidth="1"/>
    <col min="8450" max="8450" width="23.28515625" customWidth="1"/>
    <col min="8451" max="8451" width="12.28515625" bestFit="1" customWidth="1"/>
    <col min="8452" max="8452" width="16.140625" bestFit="1" customWidth="1"/>
    <col min="8453" max="8453" width="12.28515625" bestFit="1" customWidth="1"/>
    <col min="8454" max="8454" width="11.7109375" bestFit="1" customWidth="1"/>
    <col min="8455" max="8455" width="12.28515625" bestFit="1" customWidth="1"/>
    <col min="8456" max="8457" width="14.5703125" bestFit="1" customWidth="1"/>
    <col min="8705" max="8705" width="17.28515625" bestFit="1" customWidth="1"/>
    <col min="8706" max="8706" width="23.28515625" customWidth="1"/>
    <col min="8707" max="8707" width="12.28515625" bestFit="1" customWidth="1"/>
    <col min="8708" max="8708" width="16.140625" bestFit="1" customWidth="1"/>
    <col min="8709" max="8709" width="12.28515625" bestFit="1" customWidth="1"/>
    <col min="8710" max="8710" width="11.7109375" bestFit="1" customWidth="1"/>
    <col min="8711" max="8711" width="12.28515625" bestFit="1" customWidth="1"/>
    <col min="8712" max="8713" width="14.5703125" bestFit="1" customWidth="1"/>
    <col min="8961" max="8961" width="17.28515625" bestFit="1" customWidth="1"/>
    <col min="8962" max="8962" width="23.28515625" customWidth="1"/>
    <col min="8963" max="8963" width="12.28515625" bestFit="1" customWidth="1"/>
    <col min="8964" max="8964" width="16.140625" bestFit="1" customWidth="1"/>
    <col min="8965" max="8965" width="12.28515625" bestFit="1" customWidth="1"/>
    <col min="8966" max="8966" width="11.7109375" bestFit="1" customWidth="1"/>
    <col min="8967" max="8967" width="12.28515625" bestFit="1" customWidth="1"/>
    <col min="8968" max="8969" width="14.5703125" bestFit="1" customWidth="1"/>
    <col min="9217" max="9217" width="17.28515625" bestFit="1" customWidth="1"/>
    <col min="9218" max="9218" width="23.28515625" customWidth="1"/>
    <col min="9219" max="9219" width="12.28515625" bestFit="1" customWidth="1"/>
    <col min="9220" max="9220" width="16.140625" bestFit="1" customWidth="1"/>
    <col min="9221" max="9221" width="12.28515625" bestFit="1" customWidth="1"/>
    <col min="9222" max="9222" width="11.7109375" bestFit="1" customWidth="1"/>
    <col min="9223" max="9223" width="12.28515625" bestFit="1" customWidth="1"/>
    <col min="9224" max="9225" width="14.5703125" bestFit="1" customWidth="1"/>
    <col min="9473" max="9473" width="17.28515625" bestFit="1" customWidth="1"/>
    <col min="9474" max="9474" width="23.28515625" customWidth="1"/>
    <col min="9475" max="9475" width="12.28515625" bestFit="1" customWidth="1"/>
    <col min="9476" max="9476" width="16.140625" bestFit="1" customWidth="1"/>
    <col min="9477" max="9477" width="12.28515625" bestFit="1" customWidth="1"/>
    <col min="9478" max="9478" width="11.7109375" bestFit="1" customWidth="1"/>
    <col min="9479" max="9479" width="12.28515625" bestFit="1" customWidth="1"/>
    <col min="9480" max="9481" width="14.5703125" bestFit="1" customWidth="1"/>
    <col min="9729" max="9729" width="17.28515625" bestFit="1" customWidth="1"/>
    <col min="9730" max="9730" width="23.28515625" customWidth="1"/>
    <col min="9731" max="9731" width="12.28515625" bestFit="1" customWidth="1"/>
    <col min="9732" max="9732" width="16.140625" bestFit="1" customWidth="1"/>
    <col min="9733" max="9733" width="12.28515625" bestFit="1" customWidth="1"/>
    <col min="9734" max="9734" width="11.7109375" bestFit="1" customWidth="1"/>
    <col min="9735" max="9735" width="12.28515625" bestFit="1" customWidth="1"/>
    <col min="9736" max="9737" width="14.5703125" bestFit="1" customWidth="1"/>
    <col min="9985" max="9985" width="17.28515625" bestFit="1" customWidth="1"/>
    <col min="9986" max="9986" width="23.28515625" customWidth="1"/>
    <col min="9987" max="9987" width="12.28515625" bestFit="1" customWidth="1"/>
    <col min="9988" max="9988" width="16.140625" bestFit="1" customWidth="1"/>
    <col min="9989" max="9989" width="12.28515625" bestFit="1" customWidth="1"/>
    <col min="9990" max="9990" width="11.7109375" bestFit="1" customWidth="1"/>
    <col min="9991" max="9991" width="12.28515625" bestFit="1" customWidth="1"/>
    <col min="9992" max="9993" width="14.5703125" bestFit="1" customWidth="1"/>
    <col min="10241" max="10241" width="17.28515625" bestFit="1" customWidth="1"/>
    <col min="10242" max="10242" width="23.28515625" customWidth="1"/>
    <col min="10243" max="10243" width="12.28515625" bestFit="1" customWidth="1"/>
    <col min="10244" max="10244" width="16.140625" bestFit="1" customWidth="1"/>
    <col min="10245" max="10245" width="12.28515625" bestFit="1" customWidth="1"/>
    <col min="10246" max="10246" width="11.7109375" bestFit="1" customWidth="1"/>
    <col min="10247" max="10247" width="12.28515625" bestFit="1" customWidth="1"/>
    <col min="10248" max="10249" width="14.5703125" bestFit="1" customWidth="1"/>
    <col min="10497" max="10497" width="17.28515625" bestFit="1" customWidth="1"/>
    <col min="10498" max="10498" width="23.28515625" customWidth="1"/>
    <col min="10499" max="10499" width="12.28515625" bestFit="1" customWidth="1"/>
    <col min="10500" max="10500" width="16.140625" bestFit="1" customWidth="1"/>
    <col min="10501" max="10501" width="12.28515625" bestFit="1" customWidth="1"/>
    <col min="10502" max="10502" width="11.7109375" bestFit="1" customWidth="1"/>
    <col min="10503" max="10503" width="12.28515625" bestFit="1" customWidth="1"/>
    <col min="10504" max="10505" width="14.5703125" bestFit="1" customWidth="1"/>
    <col min="10753" max="10753" width="17.28515625" bestFit="1" customWidth="1"/>
    <col min="10754" max="10754" width="23.28515625" customWidth="1"/>
    <col min="10755" max="10755" width="12.28515625" bestFit="1" customWidth="1"/>
    <col min="10756" max="10756" width="16.140625" bestFit="1" customWidth="1"/>
    <col min="10757" max="10757" width="12.28515625" bestFit="1" customWidth="1"/>
    <col min="10758" max="10758" width="11.7109375" bestFit="1" customWidth="1"/>
    <col min="10759" max="10759" width="12.28515625" bestFit="1" customWidth="1"/>
    <col min="10760" max="10761" width="14.5703125" bestFit="1" customWidth="1"/>
    <col min="11009" max="11009" width="17.28515625" bestFit="1" customWidth="1"/>
    <col min="11010" max="11010" width="23.28515625" customWidth="1"/>
    <col min="11011" max="11011" width="12.28515625" bestFit="1" customWidth="1"/>
    <col min="11012" max="11012" width="16.140625" bestFit="1" customWidth="1"/>
    <col min="11013" max="11013" width="12.28515625" bestFit="1" customWidth="1"/>
    <col min="11014" max="11014" width="11.7109375" bestFit="1" customWidth="1"/>
    <col min="11015" max="11015" width="12.28515625" bestFit="1" customWidth="1"/>
    <col min="11016" max="11017" width="14.5703125" bestFit="1" customWidth="1"/>
    <col min="11265" max="11265" width="17.28515625" bestFit="1" customWidth="1"/>
    <col min="11266" max="11266" width="23.28515625" customWidth="1"/>
    <col min="11267" max="11267" width="12.28515625" bestFit="1" customWidth="1"/>
    <col min="11268" max="11268" width="16.140625" bestFit="1" customWidth="1"/>
    <col min="11269" max="11269" width="12.28515625" bestFit="1" customWidth="1"/>
    <col min="11270" max="11270" width="11.7109375" bestFit="1" customWidth="1"/>
    <col min="11271" max="11271" width="12.28515625" bestFit="1" customWidth="1"/>
    <col min="11272" max="11273" width="14.5703125" bestFit="1" customWidth="1"/>
    <col min="11521" max="11521" width="17.28515625" bestFit="1" customWidth="1"/>
    <col min="11522" max="11522" width="23.28515625" customWidth="1"/>
    <col min="11523" max="11523" width="12.28515625" bestFit="1" customWidth="1"/>
    <col min="11524" max="11524" width="16.140625" bestFit="1" customWidth="1"/>
    <col min="11525" max="11525" width="12.28515625" bestFit="1" customWidth="1"/>
    <col min="11526" max="11526" width="11.7109375" bestFit="1" customWidth="1"/>
    <col min="11527" max="11527" width="12.28515625" bestFit="1" customWidth="1"/>
    <col min="11528" max="11529" width="14.5703125" bestFit="1" customWidth="1"/>
    <col min="11777" max="11777" width="17.28515625" bestFit="1" customWidth="1"/>
    <col min="11778" max="11778" width="23.28515625" customWidth="1"/>
    <col min="11779" max="11779" width="12.28515625" bestFit="1" customWidth="1"/>
    <col min="11780" max="11780" width="16.140625" bestFit="1" customWidth="1"/>
    <col min="11781" max="11781" width="12.28515625" bestFit="1" customWidth="1"/>
    <col min="11782" max="11782" width="11.7109375" bestFit="1" customWidth="1"/>
    <col min="11783" max="11783" width="12.28515625" bestFit="1" customWidth="1"/>
    <col min="11784" max="11785" width="14.5703125" bestFit="1" customWidth="1"/>
    <col min="12033" max="12033" width="17.28515625" bestFit="1" customWidth="1"/>
    <col min="12034" max="12034" width="23.28515625" customWidth="1"/>
    <col min="12035" max="12035" width="12.28515625" bestFit="1" customWidth="1"/>
    <col min="12036" max="12036" width="16.140625" bestFit="1" customWidth="1"/>
    <col min="12037" max="12037" width="12.28515625" bestFit="1" customWidth="1"/>
    <col min="12038" max="12038" width="11.7109375" bestFit="1" customWidth="1"/>
    <col min="12039" max="12039" width="12.28515625" bestFit="1" customWidth="1"/>
    <col min="12040" max="12041" width="14.5703125" bestFit="1" customWidth="1"/>
    <col min="12289" max="12289" width="17.28515625" bestFit="1" customWidth="1"/>
    <col min="12290" max="12290" width="23.28515625" customWidth="1"/>
    <col min="12291" max="12291" width="12.28515625" bestFit="1" customWidth="1"/>
    <col min="12292" max="12292" width="16.140625" bestFit="1" customWidth="1"/>
    <col min="12293" max="12293" width="12.28515625" bestFit="1" customWidth="1"/>
    <col min="12294" max="12294" width="11.7109375" bestFit="1" customWidth="1"/>
    <col min="12295" max="12295" width="12.28515625" bestFit="1" customWidth="1"/>
    <col min="12296" max="12297" width="14.5703125" bestFit="1" customWidth="1"/>
    <col min="12545" max="12545" width="17.28515625" bestFit="1" customWidth="1"/>
    <col min="12546" max="12546" width="23.28515625" customWidth="1"/>
    <col min="12547" max="12547" width="12.28515625" bestFit="1" customWidth="1"/>
    <col min="12548" max="12548" width="16.140625" bestFit="1" customWidth="1"/>
    <col min="12549" max="12549" width="12.28515625" bestFit="1" customWidth="1"/>
    <col min="12550" max="12550" width="11.7109375" bestFit="1" customWidth="1"/>
    <col min="12551" max="12551" width="12.28515625" bestFit="1" customWidth="1"/>
    <col min="12552" max="12553" width="14.5703125" bestFit="1" customWidth="1"/>
    <col min="12801" max="12801" width="17.28515625" bestFit="1" customWidth="1"/>
    <col min="12802" max="12802" width="23.28515625" customWidth="1"/>
    <col min="12803" max="12803" width="12.28515625" bestFit="1" customWidth="1"/>
    <col min="12804" max="12804" width="16.140625" bestFit="1" customWidth="1"/>
    <col min="12805" max="12805" width="12.28515625" bestFit="1" customWidth="1"/>
    <col min="12806" max="12806" width="11.7109375" bestFit="1" customWidth="1"/>
    <col min="12807" max="12807" width="12.28515625" bestFit="1" customWidth="1"/>
    <col min="12808" max="12809" width="14.5703125" bestFit="1" customWidth="1"/>
    <col min="13057" max="13057" width="17.28515625" bestFit="1" customWidth="1"/>
    <col min="13058" max="13058" width="23.28515625" customWidth="1"/>
    <col min="13059" max="13059" width="12.28515625" bestFit="1" customWidth="1"/>
    <col min="13060" max="13060" width="16.140625" bestFit="1" customWidth="1"/>
    <col min="13061" max="13061" width="12.28515625" bestFit="1" customWidth="1"/>
    <col min="13062" max="13062" width="11.7109375" bestFit="1" customWidth="1"/>
    <col min="13063" max="13063" width="12.28515625" bestFit="1" customWidth="1"/>
    <col min="13064" max="13065" width="14.5703125" bestFit="1" customWidth="1"/>
    <col min="13313" max="13313" width="17.28515625" bestFit="1" customWidth="1"/>
    <col min="13314" max="13314" width="23.28515625" customWidth="1"/>
    <col min="13315" max="13315" width="12.28515625" bestFit="1" customWidth="1"/>
    <col min="13316" max="13316" width="16.140625" bestFit="1" customWidth="1"/>
    <col min="13317" max="13317" width="12.28515625" bestFit="1" customWidth="1"/>
    <col min="13318" max="13318" width="11.7109375" bestFit="1" customWidth="1"/>
    <col min="13319" max="13319" width="12.28515625" bestFit="1" customWidth="1"/>
    <col min="13320" max="13321" width="14.5703125" bestFit="1" customWidth="1"/>
    <col min="13569" max="13569" width="17.28515625" bestFit="1" customWidth="1"/>
    <col min="13570" max="13570" width="23.28515625" customWidth="1"/>
    <col min="13571" max="13571" width="12.28515625" bestFit="1" customWidth="1"/>
    <col min="13572" max="13572" width="16.140625" bestFit="1" customWidth="1"/>
    <col min="13573" max="13573" width="12.28515625" bestFit="1" customWidth="1"/>
    <col min="13574" max="13574" width="11.7109375" bestFit="1" customWidth="1"/>
    <col min="13575" max="13575" width="12.28515625" bestFit="1" customWidth="1"/>
    <col min="13576" max="13577" width="14.5703125" bestFit="1" customWidth="1"/>
    <col min="13825" max="13825" width="17.28515625" bestFit="1" customWidth="1"/>
    <col min="13826" max="13826" width="23.28515625" customWidth="1"/>
    <col min="13827" max="13827" width="12.28515625" bestFit="1" customWidth="1"/>
    <col min="13828" max="13828" width="16.140625" bestFit="1" customWidth="1"/>
    <col min="13829" max="13829" width="12.28515625" bestFit="1" customWidth="1"/>
    <col min="13830" max="13830" width="11.7109375" bestFit="1" customWidth="1"/>
    <col min="13831" max="13831" width="12.28515625" bestFit="1" customWidth="1"/>
    <col min="13832" max="13833" width="14.5703125" bestFit="1" customWidth="1"/>
    <col min="14081" max="14081" width="17.28515625" bestFit="1" customWidth="1"/>
    <col min="14082" max="14082" width="23.28515625" customWidth="1"/>
    <col min="14083" max="14083" width="12.28515625" bestFit="1" customWidth="1"/>
    <col min="14084" max="14084" width="16.140625" bestFit="1" customWidth="1"/>
    <col min="14085" max="14085" width="12.28515625" bestFit="1" customWidth="1"/>
    <col min="14086" max="14086" width="11.7109375" bestFit="1" customWidth="1"/>
    <col min="14087" max="14087" width="12.28515625" bestFit="1" customWidth="1"/>
    <col min="14088" max="14089" width="14.5703125" bestFit="1" customWidth="1"/>
    <col min="14337" max="14337" width="17.28515625" bestFit="1" customWidth="1"/>
    <col min="14338" max="14338" width="23.28515625" customWidth="1"/>
    <col min="14339" max="14339" width="12.28515625" bestFit="1" customWidth="1"/>
    <col min="14340" max="14340" width="16.140625" bestFit="1" customWidth="1"/>
    <col min="14341" max="14341" width="12.28515625" bestFit="1" customWidth="1"/>
    <col min="14342" max="14342" width="11.7109375" bestFit="1" customWidth="1"/>
    <col min="14343" max="14343" width="12.28515625" bestFit="1" customWidth="1"/>
    <col min="14344" max="14345" width="14.5703125" bestFit="1" customWidth="1"/>
    <col min="14593" max="14593" width="17.28515625" bestFit="1" customWidth="1"/>
    <col min="14594" max="14594" width="23.28515625" customWidth="1"/>
    <col min="14595" max="14595" width="12.28515625" bestFit="1" customWidth="1"/>
    <col min="14596" max="14596" width="16.140625" bestFit="1" customWidth="1"/>
    <col min="14597" max="14597" width="12.28515625" bestFit="1" customWidth="1"/>
    <col min="14598" max="14598" width="11.7109375" bestFit="1" customWidth="1"/>
    <col min="14599" max="14599" width="12.28515625" bestFit="1" customWidth="1"/>
    <col min="14600" max="14601" width="14.5703125" bestFit="1" customWidth="1"/>
    <col min="14849" max="14849" width="17.28515625" bestFit="1" customWidth="1"/>
    <col min="14850" max="14850" width="23.28515625" customWidth="1"/>
    <col min="14851" max="14851" width="12.28515625" bestFit="1" customWidth="1"/>
    <col min="14852" max="14852" width="16.140625" bestFit="1" customWidth="1"/>
    <col min="14853" max="14853" width="12.28515625" bestFit="1" customWidth="1"/>
    <col min="14854" max="14854" width="11.7109375" bestFit="1" customWidth="1"/>
    <col min="14855" max="14855" width="12.28515625" bestFit="1" customWidth="1"/>
    <col min="14856" max="14857" width="14.5703125" bestFit="1" customWidth="1"/>
    <col min="15105" max="15105" width="17.28515625" bestFit="1" customWidth="1"/>
    <col min="15106" max="15106" width="23.28515625" customWidth="1"/>
    <col min="15107" max="15107" width="12.28515625" bestFit="1" customWidth="1"/>
    <col min="15108" max="15108" width="16.140625" bestFit="1" customWidth="1"/>
    <col min="15109" max="15109" width="12.28515625" bestFit="1" customWidth="1"/>
    <col min="15110" max="15110" width="11.7109375" bestFit="1" customWidth="1"/>
    <col min="15111" max="15111" width="12.28515625" bestFit="1" customWidth="1"/>
    <col min="15112" max="15113" width="14.5703125" bestFit="1" customWidth="1"/>
    <col min="15361" max="15361" width="17.28515625" bestFit="1" customWidth="1"/>
    <col min="15362" max="15362" width="23.28515625" customWidth="1"/>
    <col min="15363" max="15363" width="12.28515625" bestFit="1" customWidth="1"/>
    <col min="15364" max="15364" width="16.140625" bestFit="1" customWidth="1"/>
    <col min="15365" max="15365" width="12.28515625" bestFit="1" customWidth="1"/>
    <col min="15366" max="15366" width="11.7109375" bestFit="1" customWidth="1"/>
    <col min="15367" max="15367" width="12.28515625" bestFit="1" customWidth="1"/>
    <col min="15368" max="15369" width="14.5703125" bestFit="1" customWidth="1"/>
    <col min="15617" max="15617" width="17.28515625" bestFit="1" customWidth="1"/>
    <col min="15618" max="15618" width="23.28515625" customWidth="1"/>
    <col min="15619" max="15619" width="12.28515625" bestFit="1" customWidth="1"/>
    <col min="15620" max="15620" width="16.140625" bestFit="1" customWidth="1"/>
    <col min="15621" max="15621" width="12.28515625" bestFit="1" customWidth="1"/>
    <col min="15622" max="15622" width="11.7109375" bestFit="1" customWidth="1"/>
    <col min="15623" max="15623" width="12.28515625" bestFit="1" customWidth="1"/>
    <col min="15624" max="15625" width="14.5703125" bestFit="1" customWidth="1"/>
    <col min="15873" max="15873" width="17.28515625" bestFit="1" customWidth="1"/>
    <col min="15874" max="15874" width="23.28515625" customWidth="1"/>
    <col min="15875" max="15875" width="12.28515625" bestFit="1" customWidth="1"/>
    <col min="15876" max="15876" width="16.140625" bestFit="1" customWidth="1"/>
    <col min="15877" max="15877" width="12.28515625" bestFit="1" customWidth="1"/>
    <col min="15878" max="15878" width="11.7109375" bestFit="1" customWidth="1"/>
    <col min="15879" max="15879" width="12.28515625" bestFit="1" customWidth="1"/>
    <col min="15880" max="15881" width="14.5703125" bestFit="1" customWidth="1"/>
    <col min="16129" max="16129" width="17.28515625" bestFit="1" customWidth="1"/>
    <col min="16130" max="16130" width="23.28515625" customWidth="1"/>
    <col min="16131" max="16131" width="12.28515625" bestFit="1" customWidth="1"/>
    <col min="16132" max="16132" width="16.140625" bestFit="1" customWidth="1"/>
    <col min="16133" max="16133" width="12.28515625" bestFit="1" customWidth="1"/>
    <col min="16134" max="16134" width="11.7109375" bestFit="1" customWidth="1"/>
    <col min="16135" max="16135" width="12.28515625" bestFit="1" customWidth="1"/>
    <col min="16136" max="16137" width="14.5703125" bestFit="1" customWidth="1"/>
  </cols>
  <sheetData>
    <row r="3" spans="1:13" x14ac:dyDescent="0.25">
      <c r="A3" s="6" t="s">
        <v>36</v>
      </c>
      <c r="B3" t="s">
        <v>37</v>
      </c>
      <c r="D3" s="6" t="s">
        <v>36</v>
      </c>
      <c r="E3" t="s">
        <v>37</v>
      </c>
      <c r="G3" s="2"/>
      <c r="H3" s="2"/>
    </row>
    <row r="4" spans="1:13" x14ac:dyDescent="0.25">
      <c r="A4" s="3" t="s">
        <v>11</v>
      </c>
      <c r="B4" s="7">
        <v>1298850</v>
      </c>
      <c r="D4" s="3" t="s">
        <v>12</v>
      </c>
      <c r="E4" s="7">
        <v>7639824</v>
      </c>
      <c r="G4" s="4"/>
      <c r="H4" s="5"/>
      <c r="I4" s="3"/>
    </row>
    <row r="5" spans="1:13" x14ac:dyDescent="0.25">
      <c r="A5" s="3" t="s">
        <v>42</v>
      </c>
      <c r="B5" s="7">
        <v>1298850</v>
      </c>
      <c r="D5" s="3" t="s">
        <v>42</v>
      </c>
      <c r="E5" s="7">
        <v>7639824</v>
      </c>
      <c r="G5" s="6" t="s">
        <v>36</v>
      </c>
      <c r="H5" t="s">
        <v>38</v>
      </c>
      <c r="J5" t="s">
        <v>39</v>
      </c>
      <c r="K5">
        <f>GETPIVOTDATA("Total Sales",$C$12)</f>
        <v>7639824</v>
      </c>
    </row>
    <row r="6" spans="1:13" x14ac:dyDescent="0.25">
      <c r="G6" s="3" t="s">
        <v>27</v>
      </c>
      <c r="H6" s="7">
        <v>83</v>
      </c>
      <c r="J6" t="s">
        <v>40</v>
      </c>
      <c r="K6">
        <f>GETPIVOTDATA("Profit",$E$15)</f>
        <v>323311.2</v>
      </c>
    </row>
    <row r="7" spans="1:13" x14ac:dyDescent="0.25">
      <c r="G7" s="3" t="s">
        <v>11</v>
      </c>
      <c r="H7" s="7">
        <v>51</v>
      </c>
      <c r="J7" t="s">
        <v>41</v>
      </c>
      <c r="K7">
        <f>GETPIVOTDATA("Quantity",$G$5)</f>
        <v>348</v>
      </c>
    </row>
    <row r="8" spans="1:13" x14ac:dyDescent="0.25">
      <c r="G8" s="3" t="s">
        <v>24</v>
      </c>
      <c r="H8" s="7">
        <v>118</v>
      </c>
    </row>
    <row r="9" spans="1:13" x14ac:dyDescent="0.25">
      <c r="G9" s="3" t="s">
        <v>15</v>
      </c>
      <c r="H9" s="7">
        <v>96</v>
      </c>
    </row>
    <row r="10" spans="1:13" x14ac:dyDescent="0.25">
      <c r="G10" s="3" t="s">
        <v>42</v>
      </c>
      <c r="H10" s="7">
        <v>348</v>
      </c>
    </row>
    <row r="12" spans="1:13" x14ac:dyDescent="0.25">
      <c r="C12" s="6" t="s">
        <v>36</v>
      </c>
      <c r="D12" t="s">
        <v>37</v>
      </c>
      <c r="I12" s="6" t="s">
        <v>36</v>
      </c>
      <c r="J12" t="s">
        <v>54</v>
      </c>
      <c r="L12" s="6" t="s">
        <v>36</v>
      </c>
      <c r="M12" t="s">
        <v>55</v>
      </c>
    </row>
    <row r="13" spans="1:13" x14ac:dyDescent="0.25">
      <c r="A13" s="6" t="s">
        <v>36</v>
      </c>
      <c r="B13" t="s">
        <v>37</v>
      </c>
      <c r="C13" s="3" t="s">
        <v>43</v>
      </c>
      <c r="D13" s="7">
        <v>1081023</v>
      </c>
      <c r="I13" s="3" t="s">
        <v>23</v>
      </c>
      <c r="J13" s="7">
        <v>5</v>
      </c>
      <c r="L13" s="3" t="s">
        <v>23</v>
      </c>
      <c r="M13" s="7">
        <v>110367</v>
      </c>
    </row>
    <row r="14" spans="1:13" x14ac:dyDescent="0.25">
      <c r="A14" s="3" t="s">
        <v>23</v>
      </c>
      <c r="B14" s="7">
        <v>332141</v>
      </c>
      <c r="C14" s="3" t="s">
        <v>44</v>
      </c>
      <c r="D14" s="7">
        <v>978934</v>
      </c>
      <c r="I14" s="3" t="s">
        <v>20</v>
      </c>
      <c r="J14" s="7">
        <v>10</v>
      </c>
      <c r="L14" s="3" t="s">
        <v>20</v>
      </c>
      <c r="M14" s="7">
        <v>275367</v>
      </c>
    </row>
    <row r="15" spans="1:13" x14ac:dyDescent="0.25">
      <c r="A15" s="3" t="s">
        <v>20</v>
      </c>
      <c r="B15" s="7">
        <v>1440323</v>
      </c>
      <c r="C15" s="3" t="s">
        <v>45</v>
      </c>
      <c r="D15" s="7">
        <v>806792</v>
      </c>
      <c r="E15" s="6" t="s">
        <v>36</v>
      </c>
      <c r="F15" t="s">
        <v>46</v>
      </c>
      <c r="I15" s="3" t="s">
        <v>29</v>
      </c>
      <c r="J15" s="7">
        <v>11</v>
      </c>
      <c r="L15" s="3" t="s">
        <v>29</v>
      </c>
      <c r="M15" s="7">
        <v>296034</v>
      </c>
    </row>
    <row r="16" spans="1:13" x14ac:dyDescent="0.25">
      <c r="A16" s="3" t="s">
        <v>29</v>
      </c>
      <c r="B16" s="7">
        <v>1461879</v>
      </c>
      <c r="C16" s="3" t="s">
        <v>47</v>
      </c>
      <c r="D16" s="7">
        <v>1093669</v>
      </c>
      <c r="E16" s="3" t="s">
        <v>27</v>
      </c>
      <c r="F16" s="7">
        <v>72835.599999999991</v>
      </c>
      <c r="I16" s="3" t="s">
        <v>33</v>
      </c>
      <c r="J16" s="7">
        <v>7</v>
      </c>
      <c r="L16" s="3" t="s">
        <v>33</v>
      </c>
      <c r="M16" s="7">
        <v>179524</v>
      </c>
    </row>
    <row r="17" spans="1:13" x14ac:dyDescent="0.25">
      <c r="A17" s="3" t="s">
        <v>33</v>
      </c>
      <c r="B17" s="7">
        <v>1029751</v>
      </c>
      <c r="C17" s="3" t="s">
        <v>48</v>
      </c>
      <c r="D17" s="7">
        <v>989260</v>
      </c>
      <c r="E17" s="3" t="s">
        <v>11</v>
      </c>
      <c r="F17" s="7">
        <v>76230.8</v>
      </c>
      <c r="I17" s="3" t="s">
        <v>31</v>
      </c>
      <c r="J17" s="7">
        <v>6</v>
      </c>
      <c r="L17" s="3" t="s">
        <v>31</v>
      </c>
      <c r="M17" s="7">
        <v>176650</v>
      </c>
    </row>
    <row r="18" spans="1:13" x14ac:dyDescent="0.25">
      <c r="A18" s="3" t="s">
        <v>31</v>
      </c>
      <c r="B18" s="7">
        <v>995026</v>
      </c>
      <c r="C18" s="3" t="s">
        <v>49</v>
      </c>
      <c r="D18" s="7">
        <v>773669</v>
      </c>
      <c r="E18" s="3" t="s">
        <v>24</v>
      </c>
      <c r="F18" s="7">
        <v>111237.20000000001</v>
      </c>
      <c r="I18" s="3" t="s">
        <v>28</v>
      </c>
      <c r="J18" s="7">
        <v>15</v>
      </c>
      <c r="L18" s="3" t="s">
        <v>28</v>
      </c>
      <c r="M18" s="7">
        <v>337669</v>
      </c>
    </row>
    <row r="19" spans="1:13" x14ac:dyDescent="0.25">
      <c r="A19" s="3" t="s">
        <v>28</v>
      </c>
      <c r="B19" s="7">
        <v>1393310</v>
      </c>
      <c r="C19" s="3" t="s">
        <v>50</v>
      </c>
      <c r="D19" s="7">
        <v>184398</v>
      </c>
      <c r="E19" s="3" t="s">
        <v>15</v>
      </c>
      <c r="F19" s="7">
        <v>63007.6</v>
      </c>
      <c r="I19" s="3" t="s">
        <v>13</v>
      </c>
      <c r="J19" s="7">
        <v>11</v>
      </c>
      <c r="L19" s="3" t="s">
        <v>13</v>
      </c>
      <c r="M19" s="7">
        <v>206283</v>
      </c>
    </row>
    <row r="20" spans="1:13" x14ac:dyDescent="0.25">
      <c r="A20" s="3" t="s">
        <v>13</v>
      </c>
      <c r="B20" s="7">
        <v>853918</v>
      </c>
      <c r="C20" s="3" t="s">
        <v>51</v>
      </c>
      <c r="D20" s="7">
        <v>525522</v>
      </c>
      <c r="E20" s="3" t="s">
        <v>42</v>
      </c>
      <c r="F20" s="7">
        <v>323311.2</v>
      </c>
      <c r="I20" s="3" t="s">
        <v>17</v>
      </c>
      <c r="J20" s="7">
        <v>3</v>
      </c>
      <c r="L20" s="3" t="s">
        <v>17</v>
      </c>
      <c r="M20" s="7">
        <v>34662</v>
      </c>
    </row>
    <row r="21" spans="1:13" x14ac:dyDescent="0.25">
      <c r="A21" s="3" t="s">
        <v>17</v>
      </c>
      <c r="B21" s="7">
        <v>133476</v>
      </c>
      <c r="C21" s="3" t="s">
        <v>52</v>
      </c>
      <c r="D21" s="7">
        <v>992061</v>
      </c>
      <c r="I21" s="3" t="s">
        <v>42</v>
      </c>
      <c r="J21" s="7">
        <v>68</v>
      </c>
      <c r="L21" s="3" t="s">
        <v>42</v>
      </c>
      <c r="M21" s="7">
        <v>1616556</v>
      </c>
    </row>
    <row r="22" spans="1:13" x14ac:dyDescent="0.25">
      <c r="A22" s="3" t="s">
        <v>42</v>
      </c>
      <c r="B22" s="7">
        <v>7639824</v>
      </c>
      <c r="C22" s="3" t="s">
        <v>53</v>
      </c>
      <c r="D22" s="7">
        <v>214496</v>
      </c>
    </row>
    <row r="23" spans="1:13" x14ac:dyDescent="0.25">
      <c r="C23" s="3" t="s">
        <v>42</v>
      </c>
      <c r="D23" s="7">
        <v>7639824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DACC-3ED0-4C49-9FB7-2B018F4E2094}">
  <dimension ref="A1"/>
  <sheetViews>
    <sheetView showGridLines="0" tabSelected="1" topLeftCell="B1" workbookViewId="0">
      <selection activeCell="O36" sqref="O3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89F1CA-D364-4359-BA8C-F8C1FC167B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ASDC12</dc:creator>
  <cp:lastModifiedBy>ASDC12</cp:lastModifiedBy>
  <cp:lastPrinted>2026-07-08T06:06:09Z</cp:lastPrinted>
  <dcterms:created xsi:type="dcterms:W3CDTF">2026-07-08T05:50:18Z</dcterms:created>
  <dcterms:modified xsi:type="dcterms:W3CDTF">2026-07-08T07:38:24Z</dcterms:modified>
</cp:coreProperties>
</file>